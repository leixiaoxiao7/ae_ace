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/>
  <mc:AlternateContent xmlns:mc="http://schemas.openxmlformats.org/markup-compatibility/2006">
    <mc:Choice Requires="x15">
      <x15ac:absPath xmlns:x15ac="http://schemas.microsoft.com/office/spreadsheetml/2010/11/ac" url="/Users/xiaoxiaoleisfatpc/Desktop/ace_newStart_lxx/"/>
    </mc:Choice>
  </mc:AlternateContent>
  <xr:revisionPtr revIDLastSave="0" documentId="13_ncr:1_{3DC3F0BA-DFE0-1E4A-9174-B074626114D7}" xr6:coauthVersionLast="47" xr6:coauthVersionMax="47" xr10:uidLastSave="{00000000-0000-0000-0000-000000000000}"/>
  <bookViews>
    <workbookView xWindow="0" yWindow="500" windowWidth="49160" windowHeight="2616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2" i="2"/>
  <c r="F397" i="2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2" i="2"/>
  <c r="C399" i="2" s="1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F398" i="2" l="1"/>
  <c r="D397" i="2"/>
  <c r="F399" i="2" l="1"/>
  <c r="F400" i="2" s="1"/>
</calcChain>
</file>

<file path=xl/sharedStrings.xml><?xml version="1.0" encoding="utf-8"?>
<sst xmlns="http://schemas.openxmlformats.org/spreadsheetml/2006/main" count="3575" uniqueCount="827">
  <si>
    <t>HAR30003</t>
  </si>
  <si>
    <t>HAR30303</t>
  </si>
  <si>
    <t>HAR30403</t>
  </si>
  <si>
    <t>HAR30404</t>
  </si>
  <si>
    <t>HAR30603</t>
  </si>
  <si>
    <t>HAR30604</t>
  </si>
  <si>
    <t>HAR30803</t>
  </si>
  <si>
    <t>HAR30804</t>
  </si>
  <si>
    <t>HAR30903</t>
  </si>
  <si>
    <t>HAR30904</t>
  </si>
  <si>
    <t>HAR31003</t>
  </si>
  <si>
    <t>HAR31103</t>
  </si>
  <si>
    <t>HAR31203</t>
  </si>
  <si>
    <t>HAR31303</t>
  </si>
  <si>
    <t>HAR31403</t>
  </si>
  <si>
    <t>HAR31503</t>
  </si>
  <si>
    <t>HAR31603</t>
  </si>
  <si>
    <t>HAR31703</t>
  </si>
  <si>
    <t>HAR31704</t>
  </si>
  <si>
    <t>HAR31903</t>
  </si>
  <si>
    <t>HAR32103</t>
  </si>
  <si>
    <t>HAR32104</t>
  </si>
  <si>
    <t>HAR32303</t>
  </si>
  <si>
    <t>HAR32403</t>
  </si>
  <si>
    <t>HAR32503</t>
  </si>
  <si>
    <t>HAR32803</t>
  </si>
  <si>
    <t>HAR32903</t>
  </si>
  <si>
    <t>HAR33003</t>
  </si>
  <si>
    <t>HAR33103</t>
  </si>
  <si>
    <t>HAR33203</t>
  </si>
  <si>
    <t>HAR33204</t>
  </si>
  <si>
    <t>HAR33205</t>
  </si>
  <si>
    <t>HAR33703</t>
  </si>
  <si>
    <t>HAR33704</t>
  </si>
  <si>
    <t>HAR33903</t>
  </si>
  <si>
    <t>HAR33904</t>
  </si>
  <si>
    <t>HAR34103</t>
  </si>
  <si>
    <t>HAR34303</t>
  </si>
  <si>
    <t>HAR34503</t>
  </si>
  <si>
    <t>HAR34703</t>
  </si>
  <si>
    <t>HAR34903</t>
  </si>
  <si>
    <t>HAR35103</t>
  </si>
  <si>
    <t>HAR35104</t>
  </si>
  <si>
    <t>HAR35203</t>
  </si>
  <si>
    <t>HAR35303</t>
  </si>
  <si>
    <t>HAR35503</t>
  </si>
  <si>
    <t>HAR35504</t>
  </si>
  <si>
    <t>HAR35703</t>
  </si>
  <si>
    <t>HAR36903</t>
  </si>
  <si>
    <t>HAR37103</t>
  </si>
  <si>
    <t>HAR37203</t>
  </si>
  <si>
    <t>HAR37703</t>
  </si>
  <si>
    <t>HAR37803</t>
  </si>
  <si>
    <t>HAR37804</t>
  </si>
  <si>
    <t>HAR38103</t>
  </si>
  <si>
    <t>HAR38104</t>
  </si>
  <si>
    <t>HAR38703</t>
  </si>
  <si>
    <t>HAR38903</t>
  </si>
  <si>
    <t>HAR39203</t>
  </si>
  <si>
    <t>HAR39303</t>
  </si>
  <si>
    <t>HAR39403</t>
  </si>
  <si>
    <t>HAR39803</t>
  </si>
  <si>
    <t>HAR39903</t>
  </si>
  <si>
    <t>HAR39904</t>
  </si>
  <si>
    <t>HAR40003</t>
  </si>
  <si>
    <t>SCR70003</t>
  </si>
  <si>
    <t>SCR70103</t>
  </si>
  <si>
    <t>SCR70203</t>
  </si>
  <si>
    <t>SCR70204</t>
  </si>
  <si>
    <t>SCR70303</t>
  </si>
  <si>
    <t>SCR70403</t>
  </si>
  <si>
    <t>SCR70404</t>
  </si>
  <si>
    <t>SCR70503</t>
  </si>
  <si>
    <t>SCR70603</t>
  </si>
  <si>
    <t>SCR70604</t>
  </si>
  <si>
    <t>SCR70703</t>
  </si>
  <si>
    <t>SCR70903</t>
  </si>
  <si>
    <t>SCR70904</t>
  </si>
  <si>
    <t>SCR71003</t>
  </si>
  <si>
    <t>SCR71103</t>
  </si>
  <si>
    <t>SCR71104</t>
  </si>
  <si>
    <t>SCR71203</t>
  </si>
  <si>
    <t>SCR71303</t>
  </si>
  <si>
    <t>SCR71403</t>
  </si>
  <si>
    <t>SCR71503</t>
  </si>
  <si>
    <t>SCR71504</t>
  </si>
  <si>
    <t>SCR71603</t>
  </si>
  <si>
    <t>SCR71604</t>
  </si>
  <si>
    <t>SCR71903</t>
  </si>
  <si>
    <t>SCR72003</t>
  </si>
  <si>
    <t>SCR72203</t>
  </si>
  <si>
    <t>SCR72204</t>
  </si>
  <si>
    <t>SCR72503</t>
  </si>
  <si>
    <t>SCR72504</t>
  </si>
  <si>
    <t>SCR72603</t>
  </si>
  <si>
    <t>SCR72604</t>
  </si>
  <si>
    <t>SCR72803</t>
  </si>
  <si>
    <t>SCR72903</t>
  </si>
  <si>
    <t>SCR73003</t>
  </si>
  <si>
    <t>SCR73203</t>
  </si>
  <si>
    <t>SCR73204</t>
  </si>
  <si>
    <t>SCR73403</t>
  </si>
  <si>
    <t>SCR73404</t>
  </si>
  <si>
    <t>SCR73503</t>
  </si>
  <si>
    <t>SCR73504</t>
  </si>
  <si>
    <t>SCR73604</t>
  </si>
  <si>
    <t>SCR73703</t>
  </si>
  <si>
    <t>SCR73704</t>
  </si>
  <si>
    <t>SCR73803</t>
  </si>
  <si>
    <t>SCR74103</t>
  </si>
  <si>
    <t>SCR74104</t>
  </si>
  <si>
    <t>SCR74303</t>
  </si>
  <si>
    <t>SCR74503</t>
  </si>
  <si>
    <t>SCR74603</t>
  </si>
  <si>
    <t>SCR74703</t>
  </si>
  <si>
    <t>SCR74803</t>
  </si>
  <si>
    <t>SCR74903</t>
  </si>
  <si>
    <t>SCR75003</t>
  </si>
  <si>
    <t>SCR75004</t>
  </si>
  <si>
    <t>SCR75103</t>
  </si>
  <si>
    <t>SCR75104</t>
  </si>
  <si>
    <t>SCR75303</t>
  </si>
  <si>
    <t>SCR75403</t>
  </si>
  <si>
    <t>SCR75503</t>
  </si>
  <si>
    <t>SCR75504</t>
  </si>
  <si>
    <t>SCR75603</t>
  </si>
  <si>
    <t>SCR75703</t>
  </si>
  <si>
    <t>SCR76103</t>
  </si>
  <si>
    <t>SCR76203</t>
  </si>
  <si>
    <t>SCR76204</t>
  </si>
  <si>
    <t>SCR76403</t>
  </si>
  <si>
    <t>SCR76503</t>
  </si>
  <si>
    <t>SCR76504</t>
  </si>
  <si>
    <t>SCR77103</t>
  </si>
  <si>
    <t>SCR77203</t>
  </si>
  <si>
    <t>SCR77204</t>
  </si>
  <si>
    <t>SCR77303</t>
  </si>
  <si>
    <t>SCR77304</t>
  </si>
  <si>
    <t>SCR77403</t>
  </si>
  <si>
    <t>SCR77404</t>
  </si>
  <si>
    <t>SCR77503</t>
  </si>
  <si>
    <t>SCR77504</t>
  </si>
  <si>
    <t>SCR77603</t>
  </si>
  <si>
    <t>SCR77604</t>
  </si>
  <si>
    <t>SCR77605</t>
  </si>
  <si>
    <t>SCR77703</t>
  </si>
  <si>
    <t>SCR77803</t>
  </si>
  <si>
    <t>SCR77903</t>
  </si>
  <si>
    <t>SCR78003</t>
  </si>
  <si>
    <t>SCR78004</t>
  </si>
  <si>
    <t>SCR78203</t>
  </si>
  <si>
    <t>SCR78204</t>
  </si>
  <si>
    <t>SCR78303</t>
  </si>
  <si>
    <t>SCR78304</t>
  </si>
  <si>
    <t>SCR78305</t>
  </si>
  <si>
    <t>SCR78403</t>
  </si>
  <si>
    <t>SCR78503</t>
  </si>
  <si>
    <t>SCR78603</t>
  </si>
  <si>
    <t>SCR78703</t>
  </si>
  <si>
    <t>SCR78903</t>
  </si>
  <si>
    <t>SCR79003</t>
  </si>
  <si>
    <t>SCR79004</t>
  </si>
  <si>
    <t>SCR79005</t>
  </si>
  <si>
    <t>SCR79203</t>
  </si>
  <si>
    <t>SCR79303</t>
  </si>
  <si>
    <t>SCR79403</t>
  </si>
  <si>
    <t>SCR79503</t>
  </si>
  <si>
    <t>SCR79603</t>
  </si>
  <si>
    <t>SCR79703</t>
  </si>
  <si>
    <t>SCR79903</t>
  </si>
  <si>
    <t>SCR80003</t>
  </si>
  <si>
    <t>SCR80103</t>
  </si>
  <si>
    <t>SCR80203</t>
  </si>
  <si>
    <t>SCR80204</t>
  </si>
  <si>
    <t>SCR80503</t>
  </si>
  <si>
    <t>SCR80703</t>
  </si>
  <si>
    <t>SCR80704</t>
  </si>
  <si>
    <t>SCR80803</t>
  </si>
  <si>
    <t>SCR80903</t>
  </si>
  <si>
    <t>SCR80904</t>
  </si>
  <si>
    <t>SCR81003</t>
  </si>
  <si>
    <t>SCR81004</t>
  </si>
  <si>
    <t>SCR81503</t>
  </si>
  <si>
    <t>SCR81603</t>
  </si>
  <si>
    <t>SCR81604</t>
  </si>
  <si>
    <t>SCR81605</t>
  </si>
  <si>
    <t>SCR81703</t>
  </si>
  <si>
    <t>SCR81704</t>
  </si>
  <si>
    <t>SCR81803</t>
  </si>
  <si>
    <t>SCR81804</t>
  </si>
  <si>
    <t>SCR81903</t>
  </si>
  <si>
    <t>SCR82003</t>
  </si>
  <si>
    <t>SCR82303</t>
  </si>
  <si>
    <t>SCR82304</t>
  </si>
  <si>
    <t>UCL50003</t>
  </si>
  <si>
    <t>UCL50103</t>
  </si>
  <si>
    <t>UCL50104</t>
  </si>
  <si>
    <t>UCL50203</t>
  </si>
  <si>
    <t>UCL50303</t>
  </si>
  <si>
    <t>UCL50503</t>
  </si>
  <si>
    <t>UCL50703</t>
  </si>
  <si>
    <t>UCL50803</t>
  </si>
  <si>
    <t>UCL50804</t>
  </si>
  <si>
    <t>UCL51204</t>
  </si>
  <si>
    <t>UCL51403</t>
  </si>
  <si>
    <t>UCL51503</t>
  </si>
  <si>
    <t>UCL51603</t>
  </si>
  <si>
    <t>UCL51803</t>
  </si>
  <si>
    <t>UCL51804</t>
  </si>
  <si>
    <t>UCL51903</t>
  </si>
  <si>
    <t>UCL52003</t>
  </si>
  <si>
    <t>UCL52103</t>
  </si>
  <si>
    <t>UCL52203</t>
  </si>
  <si>
    <t>UCL52303</t>
  </si>
  <si>
    <t>UCL52403</t>
  </si>
  <si>
    <t>UCL52404</t>
  </si>
  <si>
    <t>UCL52603</t>
  </si>
  <si>
    <t>UCL52703</t>
  </si>
  <si>
    <t>UCL52704</t>
  </si>
  <si>
    <t>UCL52803</t>
  </si>
  <si>
    <t>UCL53003</t>
  </si>
  <si>
    <t>UCL53103</t>
  </si>
  <si>
    <t>UCL53303</t>
  </si>
  <si>
    <t>UCL53403</t>
  </si>
  <si>
    <t>UCL53404</t>
  </si>
  <si>
    <t>UCL53503</t>
  </si>
  <si>
    <t>UCL53703</t>
  </si>
  <si>
    <t>UCL53803</t>
  </si>
  <si>
    <t>UCL53804</t>
  </si>
  <si>
    <t>UCL53805</t>
  </si>
  <si>
    <t>UCL53903</t>
  </si>
  <si>
    <t>UCL54003</t>
  </si>
  <si>
    <t>UCL54103</t>
  </si>
  <si>
    <t>UCL54104</t>
  </si>
  <si>
    <t>UCL54203</t>
  </si>
  <si>
    <t>UCL54303</t>
  </si>
  <si>
    <t>UCL54403</t>
  </si>
  <si>
    <t>UCL54404</t>
  </si>
  <si>
    <t>UCL54503</t>
  </si>
  <si>
    <t>UCL54603</t>
  </si>
  <si>
    <t>UCL54604</t>
  </si>
  <si>
    <t>UCL54703</t>
  </si>
  <si>
    <t>UCL54803</t>
  </si>
  <si>
    <t>UCL54903</t>
  </si>
  <si>
    <t>UCL55003</t>
  </si>
  <si>
    <t>UCL55103</t>
  </si>
  <si>
    <t>UCL55303</t>
  </si>
  <si>
    <t>UCL55304</t>
  </si>
  <si>
    <t>UCL55403</t>
  </si>
  <si>
    <t>UCL55503</t>
  </si>
  <si>
    <t>UCL55603</t>
  </si>
  <si>
    <t>UCL55604</t>
  </si>
  <si>
    <t>UCL55703</t>
  </si>
  <si>
    <t>UCL55704</t>
  </si>
  <si>
    <t>UCL55803</t>
  </si>
  <si>
    <t>UCL55903</t>
  </si>
  <si>
    <t>UCL56003</t>
  </si>
  <si>
    <t>UCL56103</t>
  </si>
  <si>
    <t>UCL56203</t>
  </si>
  <si>
    <t>UCL56303</t>
  </si>
  <si>
    <t>UCL56403</t>
  </si>
  <si>
    <t>UCL56404</t>
  </si>
  <si>
    <t>UCL56405</t>
  </si>
  <si>
    <t>UCL56503</t>
  </si>
  <si>
    <t>UCL56603</t>
  </si>
  <si>
    <t>UCL56703</t>
  </si>
  <si>
    <t>UCL56803</t>
  </si>
  <si>
    <t>UCL56804</t>
  </si>
  <si>
    <t>UCL57003</t>
  </si>
  <si>
    <t>UCL57203</t>
  </si>
  <si>
    <t>UCL57403</t>
  </si>
  <si>
    <t>UCL57503</t>
  </si>
  <si>
    <t>UCL57703</t>
  </si>
  <si>
    <t>UCL57803</t>
  </si>
  <si>
    <t>UCL57903</t>
  </si>
  <si>
    <t>UCL58003</t>
  </si>
  <si>
    <t>UCL58103</t>
  </si>
  <si>
    <t>UCL58203</t>
  </si>
  <si>
    <t>UCL58303</t>
  </si>
  <si>
    <t>UCL58403</t>
  </si>
  <si>
    <t>UCL58603</t>
  </si>
  <si>
    <t>UCL58604</t>
  </si>
  <si>
    <t>UCL58803</t>
  </si>
  <si>
    <t>UCL58804</t>
  </si>
  <si>
    <t>UCL58903</t>
  </si>
  <si>
    <t>UCL59003</t>
  </si>
  <si>
    <t>UCL59103</t>
  </si>
  <si>
    <t>UCL59203</t>
  </si>
  <si>
    <t>UCL59303</t>
  </si>
  <si>
    <t>UCL59403</t>
  </si>
  <si>
    <t>UCL59703</t>
  </si>
  <si>
    <t>UCL59704</t>
  </si>
  <si>
    <t>UCL59903</t>
  </si>
  <si>
    <t>UCL60003</t>
  </si>
  <si>
    <t>UCL60004</t>
  </si>
  <si>
    <t>UCL60005</t>
  </si>
  <si>
    <t>UCL60103</t>
  </si>
  <si>
    <t>UCL60203</t>
  </si>
  <si>
    <t>UCL60303</t>
  </si>
  <si>
    <t>UCL60403</t>
  </si>
  <si>
    <t>UCL60503</t>
  </si>
  <si>
    <t>UCL60703</t>
  </si>
  <si>
    <t>UCL60803</t>
  </si>
  <si>
    <t>UCL60903</t>
  </si>
  <si>
    <t>UCL60904</t>
  </si>
  <si>
    <t>UCL61003</t>
  </si>
  <si>
    <t>UCL61004</t>
  </si>
  <si>
    <t>UCL61103</t>
  </si>
  <si>
    <t>UCL61203</t>
  </si>
  <si>
    <t>UCL61204</t>
  </si>
  <si>
    <t>UCL61303</t>
  </si>
  <si>
    <t>YAL10103</t>
  </si>
  <si>
    <t>YAL1028703</t>
  </si>
  <si>
    <t>YAL1028704</t>
  </si>
  <si>
    <t>YAL1029503</t>
  </si>
  <si>
    <t>YAL1029504</t>
  </si>
  <si>
    <t>YAL1029704</t>
  </si>
  <si>
    <t>YAL10303</t>
  </si>
  <si>
    <t>YAL10304</t>
  </si>
  <si>
    <t>YAL10503</t>
  </si>
  <si>
    <t>YAL10603</t>
  </si>
  <si>
    <t>YAL10803</t>
  </si>
  <si>
    <t>YAL11003</t>
  </si>
  <si>
    <t>YAL11203</t>
  </si>
  <si>
    <t>YAL11303</t>
  </si>
  <si>
    <t>YAL11304</t>
  </si>
  <si>
    <t>YAL11403</t>
  </si>
  <si>
    <t>YAL11404</t>
  </si>
  <si>
    <t>YAL11503</t>
  </si>
  <si>
    <t>YAL11603</t>
  </si>
  <si>
    <t>YAL11803</t>
  </si>
  <si>
    <t>YAL12203</t>
  </si>
  <si>
    <t>YAL12204</t>
  </si>
  <si>
    <t>YAL12403</t>
  </si>
  <si>
    <t>YAL12503</t>
  </si>
  <si>
    <t>YAL12504</t>
  </si>
  <si>
    <t>YAL12703</t>
  </si>
  <si>
    <t>YAL20003</t>
  </si>
  <si>
    <t>YAL20004</t>
  </si>
  <si>
    <t>YAL20103</t>
  </si>
  <si>
    <t>YAL20104</t>
  </si>
  <si>
    <t>YAL20203</t>
  </si>
  <si>
    <t>YAL20204</t>
  </si>
  <si>
    <t>YAL20303</t>
  </si>
  <si>
    <t>YAL20304</t>
  </si>
  <si>
    <t>YAL20503</t>
  </si>
  <si>
    <t>YAL20603</t>
  </si>
  <si>
    <t>YAL20604</t>
  </si>
  <si>
    <t>YAL20803</t>
  </si>
  <si>
    <t>YAL20903</t>
  </si>
  <si>
    <t>YAL21303</t>
  </si>
  <si>
    <t>YAL21503</t>
  </si>
  <si>
    <t>YAL21703</t>
  </si>
  <si>
    <t>YAL21903</t>
  </si>
  <si>
    <t>YAL21904</t>
  </si>
  <si>
    <t>YAL22003</t>
  </si>
  <si>
    <t>YAL22004</t>
  </si>
  <si>
    <t>YAL22103</t>
  </si>
  <si>
    <t>YAL22104</t>
  </si>
  <si>
    <t>YAL22203</t>
  </si>
  <si>
    <t>YAL22204</t>
  </si>
  <si>
    <t>YAL22303</t>
  </si>
  <si>
    <t>YAL22304</t>
  </si>
  <si>
    <t>YAL22404</t>
  </si>
  <si>
    <t>YAL22503</t>
  </si>
  <si>
    <t>YAL22603</t>
  </si>
  <si>
    <t>YAL226503</t>
  </si>
  <si>
    <t>YAL226504</t>
  </si>
  <si>
    <t>YAL22703</t>
  </si>
  <si>
    <t>YAL22704</t>
  </si>
  <si>
    <t>YAL22803</t>
  </si>
  <si>
    <t>YAL22804</t>
  </si>
  <si>
    <t>YAL22903</t>
  </si>
  <si>
    <t>YAL22904</t>
  </si>
  <si>
    <t>YAL23103</t>
  </si>
  <si>
    <t>YAL23104</t>
  </si>
  <si>
    <t>YAL23204</t>
  </si>
  <si>
    <t>YAL23303</t>
  </si>
  <si>
    <t>YAL23503</t>
  </si>
  <si>
    <t>YAL23903</t>
  </si>
  <si>
    <t>YAL23904</t>
  </si>
  <si>
    <t>YAL24004</t>
  </si>
  <si>
    <t>YAL24203</t>
  </si>
  <si>
    <t>YAL494503</t>
  </si>
  <si>
    <t>YAL494504</t>
  </si>
  <si>
    <t>YAL795903</t>
  </si>
  <si>
    <t>YAL795904</t>
  </si>
  <si>
    <t>YAL800403</t>
  </si>
  <si>
    <t>YAL800404</t>
  </si>
  <si>
    <t>YAL805104</t>
  </si>
  <si>
    <t>YAL810703</t>
  </si>
  <si>
    <t>YAL827003</t>
  </si>
  <si>
    <t>YAL827004</t>
  </si>
  <si>
    <t>YAL828003</t>
  </si>
  <si>
    <t>YAL997704</t>
  </si>
  <si>
    <t>subjectid</t>
  </si>
  <si>
    <t>site</t>
  </si>
  <si>
    <t>HAR</t>
  </si>
  <si>
    <t>SCR</t>
  </si>
  <si>
    <t>UCL</t>
  </si>
  <si>
    <t>YAL</t>
  </si>
  <si>
    <t>race</t>
  </si>
  <si>
    <t>White</t>
  </si>
  <si>
    <t>Black or African American</t>
  </si>
  <si>
    <t>More than one race</t>
  </si>
  <si>
    <t>Asian</t>
  </si>
  <si>
    <t>Unknown</t>
  </si>
  <si>
    <t>Hawaiian or Pacific Islander</t>
  </si>
  <si>
    <t>American Indian/Alaska Native</t>
  </si>
  <si>
    <t>ethnic group</t>
  </si>
  <si>
    <t>Not of Hispanic or Latino Descent</t>
  </si>
  <si>
    <t>Hispanic or Latino Descent</t>
  </si>
  <si>
    <t>Cohort</t>
  </si>
  <si>
    <t>ASD</t>
  </si>
  <si>
    <t>CON</t>
  </si>
  <si>
    <t>US</t>
  </si>
  <si>
    <t>Scan Age (months)</t>
  </si>
  <si>
    <t>Gender</t>
  </si>
  <si>
    <t>M</t>
  </si>
  <si>
    <t>F</t>
  </si>
  <si>
    <t>DAS-verbal_ss</t>
  </si>
  <si>
    <t>DAS-nonverbal_ss</t>
  </si>
  <si>
    <t>DAS-spatial_ss</t>
  </si>
  <si>
    <t>DAS-general_conceptual_ability_ss</t>
  </si>
  <si>
    <t>DAS-spatial_nonverbal_composite_ss</t>
  </si>
  <si>
    <t>KP284703</t>
  </si>
  <si>
    <t>KP536403</t>
  </si>
  <si>
    <t>KP349303</t>
  </si>
  <si>
    <t>KP349304</t>
  </si>
  <si>
    <t>KP234403</t>
  </si>
  <si>
    <t>KP234404</t>
  </si>
  <si>
    <t>KP636303</t>
  </si>
  <si>
    <t>KP636304</t>
  </si>
  <si>
    <t>KP382903</t>
  </si>
  <si>
    <t>KP382904</t>
  </si>
  <si>
    <t>KP229403</t>
  </si>
  <si>
    <t>KP508003</t>
  </si>
  <si>
    <t>KP790703</t>
  </si>
  <si>
    <t>KP826503</t>
  </si>
  <si>
    <t>KP415203</t>
  </si>
  <si>
    <t>KP143903</t>
  </si>
  <si>
    <t>KP473903</t>
  </si>
  <si>
    <t>KP930903</t>
  </si>
  <si>
    <t>KP930904</t>
  </si>
  <si>
    <t>KP358203</t>
  </si>
  <si>
    <t>KP283803</t>
  </si>
  <si>
    <t>KP283804</t>
  </si>
  <si>
    <t>KP918103</t>
  </si>
  <si>
    <t>KP221503</t>
  </si>
  <si>
    <t>KP192703</t>
  </si>
  <si>
    <t>KP681403</t>
  </si>
  <si>
    <t>KP172203</t>
  </si>
  <si>
    <t>KP749103</t>
  </si>
  <si>
    <t>KP697703</t>
  </si>
  <si>
    <t>KP438103</t>
  </si>
  <si>
    <t>KP438104</t>
  </si>
  <si>
    <t>KP438105</t>
  </si>
  <si>
    <t>KP732803</t>
  </si>
  <si>
    <t>KP732804</t>
  </si>
  <si>
    <t>KP386003</t>
  </si>
  <si>
    <t>KP386004</t>
  </si>
  <si>
    <t>KP597403</t>
  </si>
  <si>
    <t>KP293103</t>
  </si>
  <si>
    <t>KP127203</t>
  </si>
  <si>
    <t>KP275003</t>
  </si>
  <si>
    <t>KP357603</t>
  </si>
  <si>
    <t>KP294603</t>
  </si>
  <si>
    <t>KP294604</t>
  </si>
  <si>
    <t>KP956003</t>
  </si>
  <si>
    <t>KP319203</t>
  </si>
  <si>
    <t>KP499103</t>
  </si>
  <si>
    <t>KP499104</t>
  </si>
  <si>
    <t>KP902503</t>
  </si>
  <si>
    <t>KP778403</t>
  </si>
  <si>
    <t>KP406203</t>
  </si>
  <si>
    <t>KP186403</t>
  </si>
  <si>
    <t>KP914203</t>
  </si>
  <si>
    <t>KP175403</t>
  </si>
  <si>
    <t>KP175404</t>
  </si>
  <si>
    <t>KP161603</t>
  </si>
  <si>
    <t>KP161604</t>
  </si>
  <si>
    <t>KP629003</t>
  </si>
  <si>
    <t>KP373203</t>
  </si>
  <si>
    <t>KP219703</t>
  </si>
  <si>
    <t>KP592603</t>
  </si>
  <si>
    <t>KP407503</t>
  </si>
  <si>
    <t>KP293503</t>
  </si>
  <si>
    <t>KP858303</t>
  </si>
  <si>
    <t>KP858304</t>
  </si>
  <si>
    <t>KP864003</t>
  </si>
  <si>
    <t>KP506603</t>
  </si>
  <si>
    <t>KP904603</t>
  </si>
  <si>
    <t>KP316503</t>
  </si>
  <si>
    <t>KP316504</t>
  </si>
  <si>
    <t>KP143703</t>
  </si>
  <si>
    <t>KP395403</t>
  </si>
  <si>
    <t>KP395404</t>
  </si>
  <si>
    <t>KP971603</t>
  </si>
  <si>
    <t>KP849103</t>
  </si>
  <si>
    <t>KP849104</t>
  </si>
  <si>
    <t>KP576303</t>
  </si>
  <si>
    <t>KP431903</t>
  </si>
  <si>
    <t>KP431904</t>
  </si>
  <si>
    <t>KP303603</t>
  </si>
  <si>
    <t>KP282303</t>
  </si>
  <si>
    <t>KP282304</t>
  </si>
  <si>
    <t>KP711503</t>
  </si>
  <si>
    <t>KP931003</t>
  </si>
  <si>
    <t>KP772003</t>
  </si>
  <si>
    <t>KP300603</t>
  </si>
  <si>
    <t>KP300604</t>
  </si>
  <si>
    <t>KP759203</t>
  </si>
  <si>
    <t>KP759204</t>
  </si>
  <si>
    <t>KP177503</t>
  </si>
  <si>
    <t>KP592403</t>
  </si>
  <si>
    <t>KP183203</t>
  </si>
  <si>
    <t>KP183204</t>
  </si>
  <si>
    <t>KP853503</t>
  </si>
  <si>
    <t>KP853504</t>
  </si>
  <si>
    <t>KP113603</t>
  </si>
  <si>
    <t>KP113604</t>
  </si>
  <si>
    <t>KP699303</t>
  </si>
  <si>
    <t>KP678703</t>
  </si>
  <si>
    <t>KP842703</t>
  </si>
  <si>
    <t>KP649303</t>
  </si>
  <si>
    <t>KP649304</t>
  </si>
  <si>
    <t>KP707703</t>
  </si>
  <si>
    <t>KP707704</t>
  </si>
  <si>
    <t>KP887403</t>
  </si>
  <si>
    <t>KP887404</t>
  </si>
  <si>
    <t>KP972704</t>
  </si>
  <si>
    <t>KP780103</t>
  </si>
  <si>
    <t>KP780104</t>
  </si>
  <si>
    <t>KP146003</t>
  </si>
  <si>
    <t>KP627903</t>
  </si>
  <si>
    <t>KP627904</t>
  </si>
  <si>
    <t>KP799103</t>
  </si>
  <si>
    <t>KP975903</t>
  </si>
  <si>
    <t>KP433603</t>
  </si>
  <si>
    <t>KP858003</t>
  </si>
  <si>
    <t>KP475003</t>
  </si>
  <si>
    <t>KP783203</t>
  </si>
  <si>
    <t>KP802603</t>
  </si>
  <si>
    <t>KP802604</t>
  </si>
  <si>
    <t>KP534903</t>
  </si>
  <si>
    <t>KP534904</t>
  </si>
  <si>
    <t>KP294503</t>
  </si>
  <si>
    <t>KP912603</t>
  </si>
  <si>
    <t>KP531103</t>
  </si>
  <si>
    <t>KP531104</t>
  </si>
  <si>
    <t>KP406003</t>
  </si>
  <si>
    <t>KP788303</t>
  </si>
  <si>
    <t>KP418503</t>
  </si>
  <si>
    <t>KP699003</t>
  </si>
  <si>
    <t>KP699004</t>
  </si>
  <si>
    <t>KP701103</t>
  </si>
  <si>
    <t>KP946603</t>
  </si>
  <si>
    <t>KP946604</t>
  </si>
  <si>
    <t>KP492803</t>
  </si>
  <si>
    <t>KP760703</t>
  </si>
  <si>
    <t>KP760704</t>
  </si>
  <si>
    <t>KP842403</t>
  </si>
  <si>
    <t>KP842404</t>
  </si>
  <si>
    <t>KP853003</t>
  </si>
  <si>
    <t>KP853004</t>
  </si>
  <si>
    <t>KP747903</t>
  </si>
  <si>
    <t>KP747904</t>
  </si>
  <si>
    <t>KP667003</t>
  </si>
  <si>
    <t>KP667004</t>
  </si>
  <si>
    <t>KP667005</t>
  </si>
  <si>
    <t>KP622403</t>
  </si>
  <si>
    <t>KP537003</t>
  </si>
  <si>
    <t>KP217203</t>
  </si>
  <si>
    <t>KP467003</t>
  </si>
  <si>
    <t>KP467004</t>
  </si>
  <si>
    <t>KP504303</t>
  </si>
  <si>
    <t>KP504304</t>
  </si>
  <si>
    <t>KP796203</t>
  </si>
  <si>
    <t>KP796204</t>
  </si>
  <si>
    <t>KP796205</t>
  </si>
  <si>
    <t>KP971503</t>
  </si>
  <si>
    <t>KP400503</t>
  </si>
  <si>
    <t>KP663403</t>
  </si>
  <si>
    <t>KP286503</t>
  </si>
  <si>
    <t>KP959303</t>
  </si>
  <si>
    <t>KP747203</t>
  </si>
  <si>
    <t>KP747204</t>
  </si>
  <si>
    <t>KP747205</t>
  </si>
  <si>
    <t>KP605703</t>
  </si>
  <si>
    <t>KP303303</t>
  </si>
  <si>
    <t>KP877403</t>
  </si>
  <si>
    <t>KP481103</t>
  </si>
  <si>
    <t>KP189903</t>
  </si>
  <si>
    <t>KP345503</t>
  </si>
  <si>
    <t>KP900203</t>
  </si>
  <si>
    <t>KP620603</t>
  </si>
  <si>
    <t>KP868503</t>
  </si>
  <si>
    <t>KP163803</t>
  </si>
  <si>
    <t>KP163804</t>
  </si>
  <si>
    <t>KP957103</t>
  </si>
  <si>
    <t>KP686303</t>
  </si>
  <si>
    <t>KP686304</t>
  </si>
  <si>
    <t>KP336003</t>
  </si>
  <si>
    <t>KP789603</t>
  </si>
  <si>
    <t>KP789604</t>
  </si>
  <si>
    <t>KP524803</t>
  </si>
  <si>
    <t>KP524804</t>
  </si>
  <si>
    <t>KP336503</t>
  </si>
  <si>
    <t>KP180403</t>
  </si>
  <si>
    <t>KP180404</t>
  </si>
  <si>
    <t>KP180405</t>
  </si>
  <si>
    <t>KP176803</t>
  </si>
  <si>
    <t>KP176804</t>
  </si>
  <si>
    <t>KP577303</t>
  </si>
  <si>
    <t>KP577304</t>
  </si>
  <si>
    <t>KP889503</t>
  </si>
  <si>
    <t>KP546003</t>
  </si>
  <si>
    <t>KP305003</t>
  </si>
  <si>
    <t>KP305004</t>
  </si>
  <si>
    <t>KP567103</t>
  </si>
  <si>
    <t>KP272703</t>
  </si>
  <si>
    <t>KP272704</t>
  </si>
  <si>
    <t>KP260703</t>
  </si>
  <si>
    <t>KP996903</t>
  </si>
  <si>
    <t>KP114803</t>
  </si>
  <si>
    <t>KP654503</t>
  </si>
  <si>
    <t>KP449803</t>
  </si>
  <si>
    <t>KP449804</t>
  </si>
  <si>
    <t>KP715904</t>
  </si>
  <si>
    <t>KP636503</t>
  </si>
  <si>
    <t>KP510103</t>
  </si>
  <si>
    <t>KP545203</t>
  </si>
  <si>
    <t>KP653303</t>
  </si>
  <si>
    <t>KP653304</t>
  </si>
  <si>
    <t>KP677703</t>
  </si>
  <si>
    <t>KP750203</t>
  </si>
  <si>
    <t>KP727103</t>
  </si>
  <si>
    <t>KP667203</t>
  </si>
  <si>
    <t>KP239203</t>
  </si>
  <si>
    <t>KP128803</t>
  </si>
  <si>
    <t>KP128804</t>
  </si>
  <si>
    <t>KP954503</t>
  </si>
  <si>
    <t>KP190603</t>
  </si>
  <si>
    <t>KP190604</t>
  </si>
  <si>
    <t>KP500903</t>
  </si>
  <si>
    <t>KP134603</t>
  </si>
  <si>
    <t>KP521503</t>
  </si>
  <si>
    <t>KP621903</t>
  </si>
  <si>
    <t>KP272203</t>
  </si>
  <si>
    <t>KP272204</t>
  </si>
  <si>
    <t>KP695403</t>
  </si>
  <si>
    <t>KP748203</t>
  </si>
  <si>
    <t>KP181303</t>
  </si>
  <si>
    <t>KP181304</t>
  </si>
  <si>
    <t>KP181305</t>
  </si>
  <si>
    <t>KP667103</t>
  </si>
  <si>
    <t>KP274103</t>
  </si>
  <si>
    <t>KP173203</t>
  </si>
  <si>
    <t>KP173204</t>
  </si>
  <si>
    <t>KP271203</t>
  </si>
  <si>
    <t>KP891103</t>
  </si>
  <si>
    <t>KP572503</t>
  </si>
  <si>
    <t>KP572504</t>
  </si>
  <si>
    <t>KP927503</t>
  </si>
  <si>
    <t>KP436503</t>
  </si>
  <si>
    <t>KP436504</t>
  </si>
  <si>
    <t>KP336603</t>
  </si>
  <si>
    <t>KP190703</t>
  </si>
  <si>
    <t>KP618303</t>
  </si>
  <si>
    <t>KP246803</t>
  </si>
  <si>
    <t>KP156903</t>
  </si>
  <si>
    <t>KP301003</t>
  </si>
  <si>
    <t>KP301004</t>
  </si>
  <si>
    <t>KP578103</t>
  </si>
  <si>
    <t>KP890703</t>
  </si>
  <si>
    <t>KP631103</t>
  </si>
  <si>
    <t>KP631104</t>
  </si>
  <si>
    <t>KP415303</t>
  </si>
  <si>
    <t>KP415304</t>
  </si>
  <si>
    <t>KP915603</t>
  </si>
  <si>
    <t>KP798403</t>
  </si>
  <si>
    <t>KP612203</t>
  </si>
  <si>
    <t>KP546703</t>
  </si>
  <si>
    <t>KP470103</t>
  </si>
  <si>
    <t>KP259603</t>
  </si>
  <si>
    <t>KP650903</t>
  </si>
  <si>
    <t>KP650904</t>
  </si>
  <si>
    <t>KP650905</t>
  </si>
  <si>
    <t>KP106103</t>
  </si>
  <si>
    <t>KP494403</t>
  </si>
  <si>
    <t>KP307603</t>
  </si>
  <si>
    <t>KP133003</t>
  </si>
  <si>
    <t>KP133004</t>
  </si>
  <si>
    <t>KP506103</t>
  </si>
  <si>
    <t>KP886903</t>
  </si>
  <si>
    <t>KP798603</t>
  </si>
  <si>
    <t>KP873703</t>
  </si>
  <si>
    <t>KP104803</t>
  </si>
  <si>
    <t>KP393303</t>
  </si>
  <si>
    <t>KP783803</t>
  </si>
  <si>
    <t>KP740703</t>
  </si>
  <si>
    <t>KP229203</t>
  </si>
  <si>
    <t>KP829603</t>
  </si>
  <si>
    <t>KP393703</t>
  </si>
  <si>
    <t>KP902203</t>
  </si>
  <si>
    <t>KP211903</t>
  </si>
  <si>
    <t>KP211904</t>
  </si>
  <si>
    <t>KP945003</t>
  </si>
  <si>
    <t>KP945004</t>
  </si>
  <si>
    <t>KP869503</t>
  </si>
  <si>
    <t>KP266303</t>
  </si>
  <si>
    <t>KP196003</t>
  </si>
  <si>
    <t>KP929203</t>
  </si>
  <si>
    <t>KP974403</t>
  </si>
  <si>
    <t>KP170103</t>
  </si>
  <si>
    <t>KP384303</t>
  </si>
  <si>
    <t>KP384304</t>
  </si>
  <si>
    <t>KP480403</t>
  </si>
  <si>
    <t>KP484703</t>
  </si>
  <si>
    <t>KP484704</t>
  </si>
  <si>
    <t>KP484705</t>
  </si>
  <si>
    <t>KP832103</t>
  </si>
  <si>
    <t>KP158403</t>
  </si>
  <si>
    <t>KP394903</t>
  </si>
  <si>
    <t>KP298703</t>
  </si>
  <si>
    <t>KP561803</t>
  </si>
  <si>
    <t>KP568603</t>
  </si>
  <si>
    <t>KP804003</t>
  </si>
  <si>
    <t>KP537803</t>
  </si>
  <si>
    <t>KP537804</t>
  </si>
  <si>
    <t>KP649503</t>
  </si>
  <si>
    <t>KP649504</t>
  </si>
  <si>
    <t>KP385903</t>
  </si>
  <si>
    <t>KP670803</t>
  </si>
  <si>
    <t>KP670804</t>
  </si>
  <si>
    <t>KP689503</t>
  </si>
  <si>
    <t>KP194203</t>
  </si>
  <si>
    <t>KP856103</t>
  </si>
  <si>
    <t>KP856104</t>
  </si>
  <si>
    <t>KP563003</t>
  </si>
  <si>
    <t>KP563004</t>
  </si>
  <si>
    <t>KP687804</t>
  </si>
  <si>
    <t>KP920803</t>
  </si>
  <si>
    <t>KP920804</t>
  </si>
  <si>
    <t>KP781103</t>
  </si>
  <si>
    <t>KP377603</t>
  </si>
  <si>
    <t>KP586403</t>
  </si>
  <si>
    <t>KP580403</t>
  </si>
  <si>
    <t>KP179303</t>
  </si>
  <si>
    <t>KP293803</t>
  </si>
  <si>
    <t>KP293804</t>
  </si>
  <si>
    <t>KP458803</t>
  </si>
  <si>
    <t>KP458804</t>
  </si>
  <si>
    <t>KP779303</t>
  </si>
  <si>
    <t>KP377703</t>
  </si>
  <si>
    <t>KP665803</t>
  </si>
  <si>
    <t>KP884603</t>
  </si>
  <si>
    <t>KP884604</t>
  </si>
  <si>
    <t>KP334003</t>
  </si>
  <si>
    <t>KP530403</t>
  </si>
  <si>
    <t>KP530404</t>
  </si>
  <si>
    <t>KP411903</t>
  </si>
  <si>
    <t>KP966503</t>
  </si>
  <si>
    <t>KP966504</t>
  </si>
  <si>
    <t>KP875703</t>
  </si>
  <si>
    <t>KP875704</t>
  </si>
  <si>
    <t>KP250803</t>
  </si>
  <si>
    <t>KP250804</t>
  </si>
  <si>
    <t>KP657603</t>
  </si>
  <si>
    <t>KP657604</t>
  </si>
  <si>
    <t>KP214303</t>
  </si>
  <si>
    <t>KP163503</t>
  </si>
  <si>
    <t>KP163504</t>
  </si>
  <si>
    <t>KP248503</t>
  </si>
  <si>
    <t>KP914603</t>
  </si>
  <si>
    <t>KP389903</t>
  </si>
  <si>
    <t>KP727303</t>
  </si>
  <si>
    <t>KP714403</t>
  </si>
  <si>
    <t>KP999903</t>
  </si>
  <si>
    <t>KP999904</t>
  </si>
  <si>
    <t>KP832903</t>
  </si>
  <si>
    <t>KP832904</t>
  </si>
  <si>
    <t>KP410903</t>
  </si>
  <si>
    <t>KP410904</t>
  </si>
  <si>
    <t>KP171303</t>
  </si>
  <si>
    <t>KP171304</t>
  </si>
  <si>
    <t>KP224503</t>
  </si>
  <si>
    <t>KP224504</t>
  </si>
  <si>
    <t>KP394304</t>
  </si>
  <si>
    <t>KP756203</t>
  </si>
  <si>
    <t>KP557903</t>
  </si>
  <si>
    <t>KP268903</t>
  </si>
  <si>
    <t>KP268904</t>
  </si>
  <si>
    <t>KP511503</t>
  </si>
  <si>
    <t>KP511504</t>
  </si>
  <si>
    <t>KP216303</t>
  </si>
  <si>
    <t>KP216304</t>
  </si>
  <si>
    <t>KP831903</t>
  </si>
  <si>
    <t>KP831904</t>
  </si>
  <si>
    <t>KP995303</t>
  </si>
  <si>
    <t>KP995304</t>
  </si>
  <si>
    <t>KP797004</t>
  </si>
  <si>
    <t>KP498003</t>
  </si>
  <si>
    <t>KP307703</t>
  </si>
  <si>
    <t>KP230603</t>
  </si>
  <si>
    <t>KP230604</t>
  </si>
  <si>
    <t>KP872504</t>
  </si>
  <si>
    <t>KP791603</t>
  </si>
  <si>
    <t>KP914003</t>
  </si>
  <si>
    <t>KP914004</t>
  </si>
  <si>
    <t>KP309203</t>
  </si>
  <si>
    <t>KP309204</t>
  </si>
  <si>
    <t>KP572403</t>
  </si>
  <si>
    <t>KP572404</t>
  </si>
  <si>
    <t>KP398304</t>
  </si>
  <si>
    <t>KP250903</t>
  </si>
  <si>
    <t>KP150103</t>
  </si>
  <si>
    <t>KP150104</t>
  </si>
  <si>
    <t>KP483303</t>
  </si>
  <si>
    <t>KP176404</t>
  </si>
  <si>
    <t>newids</t>
  </si>
  <si>
    <t>Group</t>
    <phoneticPr fontId="1" type="noConversion"/>
  </si>
  <si>
    <t>Diagnosis_1ASD-0TD</t>
    <phoneticPr fontId="1" type="noConversion"/>
  </si>
  <si>
    <t>Gender_1Female-1Male</t>
    <phoneticPr fontId="1" type="noConversion"/>
  </si>
  <si>
    <t>White</t>
    <phoneticPr fontId="1" type="noConversion"/>
  </si>
  <si>
    <t>Cohort-Group_1ASD-0TD-2US</t>
    <phoneticPr fontId="1" type="noConversion"/>
  </si>
  <si>
    <t>Classify-group_1AF_2AM_3CF_4CM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</si>
</sst>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2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4"/>
      <tableStyleElement type="headerRow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6"/>
  <sheetViews>
    <sheetView tabSelected="1" workbookViewId="0">
      <selection activeCell="P14" sqref="P12:P14"/>
    </sheetView>
  </sheetViews>
  <sheetFormatPr baseColWidth="10" defaultColWidth="8.83203125" defaultRowHeight="15" x14ac:dyDescent="0.2"/>
  <cols>
    <col min="1" max="2" width="13.1640625" customWidth="1"/>
    <col min="5" max="5" width="35.6640625" customWidth="1"/>
    <col min="7" max="7" width="19.1640625" customWidth="1"/>
    <col min="10" max="12" width="20.83203125" customWidth="1"/>
    <col min="13" max="13" width="42.1640625" customWidth="1"/>
    <col min="14" max="14" width="42" customWidth="1"/>
  </cols>
  <sheetData>
    <row r="1" spans="1:14" x14ac:dyDescent="0.2">
      <c r="A1" t="s">
        <v>395</v>
      </c>
      <c r="B1" t="s">
        <v>820</v>
      </c>
      <c r="C1" t="s">
        <v>396</v>
      </c>
      <c r="D1" t="s">
        <v>401</v>
      </c>
      <c r="E1" t="s">
        <v>409</v>
      </c>
      <c r="F1" t="s">
        <v>412</v>
      </c>
      <c r="G1" t="s">
        <v>416</v>
      </c>
      <c r="H1" t="s">
        <v>417</v>
      </c>
      <c r="I1" t="s">
        <v>821</v>
      </c>
      <c r="J1" t="s">
        <v>420</v>
      </c>
      <c r="K1" t="s">
        <v>421</v>
      </c>
      <c r="L1" t="s">
        <v>422</v>
      </c>
      <c r="M1" t="s">
        <v>423</v>
      </c>
      <c r="N1" t="s">
        <v>424</v>
      </c>
    </row>
    <row r="2" spans="1:14" x14ac:dyDescent="0.2">
      <c r="A2" t="s">
        <v>0</v>
      </c>
      <c r="B2" t="s">
        <v>425</v>
      </c>
      <c r="C2" t="s">
        <v>397</v>
      </c>
      <c r="D2" t="s">
        <v>402</v>
      </c>
      <c r="E2" t="s">
        <v>410</v>
      </c>
      <c r="F2" t="s">
        <v>413</v>
      </c>
      <c r="G2">
        <v>213.5770020533881</v>
      </c>
      <c r="H2" t="s">
        <v>418</v>
      </c>
      <c r="J2">
        <v>70</v>
      </c>
      <c r="K2">
        <v>57</v>
      </c>
      <c r="L2">
        <v>87</v>
      </c>
      <c r="M2">
        <v>68</v>
      </c>
      <c r="N2">
        <v>69</v>
      </c>
    </row>
    <row r="3" spans="1:14" x14ac:dyDescent="0.2">
      <c r="A3" t="s">
        <v>1</v>
      </c>
      <c r="B3" t="s">
        <v>426</v>
      </c>
      <c r="C3" t="s">
        <v>397</v>
      </c>
      <c r="D3" t="s">
        <v>402</v>
      </c>
      <c r="E3" t="s">
        <v>410</v>
      </c>
      <c r="F3" t="s">
        <v>414</v>
      </c>
      <c r="G3">
        <v>193.16016427104722</v>
      </c>
      <c r="H3" t="s">
        <v>418</v>
      </c>
      <c r="J3">
        <v>76</v>
      </c>
      <c r="K3">
        <v>97</v>
      </c>
      <c r="L3">
        <v>94</v>
      </c>
      <c r="M3">
        <v>87</v>
      </c>
      <c r="N3">
        <v>95</v>
      </c>
    </row>
    <row r="4" spans="1:14" x14ac:dyDescent="0.2">
      <c r="A4" t="s">
        <v>2</v>
      </c>
      <c r="B4" t="s">
        <v>427</v>
      </c>
      <c r="C4" t="s">
        <v>397</v>
      </c>
      <c r="D4" t="s">
        <v>402</v>
      </c>
      <c r="E4" t="s">
        <v>410</v>
      </c>
      <c r="F4" t="s">
        <v>414</v>
      </c>
      <c r="G4">
        <v>127.14989733059548</v>
      </c>
      <c r="H4" t="s">
        <v>419</v>
      </c>
      <c r="J4">
        <v>112</v>
      </c>
      <c r="K4">
        <v>124</v>
      </c>
      <c r="L4">
        <v>123</v>
      </c>
      <c r="M4">
        <v>125</v>
      </c>
      <c r="N4">
        <v>126</v>
      </c>
    </row>
    <row r="5" spans="1:14" x14ac:dyDescent="0.2">
      <c r="A5" t="s">
        <v>3</v>
      </c>
      <c r="B5" t="s">
        <v>428</v>
      </c>
      <c r="C5" t="s">
        <v>397</v>
      </c>
      <c r="D5" t="s">
        <v>402</v>
      </c>
      <c r="E5" t="s">
        <v>410</v>
      </c>
      <c r="F5" t="s">
        <v>414</v>
      </c>
      <c r="G5">
        <v>104.14989733059548</v>
      </c>
      <c r="H5" t="s">
        <v>418</v>
      </c>
      <c r="J5">
        <v>123</v>
      </c>
      <c r="K5">
        <v>97</v>
      </c>
      <c r="L5">
        <v>104</v>
      </c>
      <c r="M5">
        <v>109</v>
      </c>
      <c r="N5">
        <v>101</v>
      </c>
    </row>
    <row r="6" spans="1:14" x14ac:dyDescent="0.2">
      <c r="A6" t="s">
        <v>4</v>
      </c>
      <c r="B6" t="s">
        <v>429</v>
      </c>
      <c r="C6" t="s">
        <v>397</v>
      </c>
      <c r="D6" t="s">
        <v>402</v>
      </c>
      <c r="E6" t="s">
        <v>410</v>
      </c>
      <c r="F6" t="s">
        <v>414</v>
      </c>
      <c r="G6">
        <v>180.45995893223818</v>
      </c>
      <c r="H6" t="s">
        <v>419</v>
      </c>
      <c r="J6">
        <v>101</v>
      </c>
      <c r="K6">
        <v>108</v>
      </c>
      <c r="L6">
        <v>110</v>
      </c>
      <c r="M6">
        <v>107</v>
      </c>
      <c r="N6">
        <v>110</v>
      </c>
    </row>
    <row r="7" spans="1:14" x14ac:dyDescent="0.2">
      <c r="A7" t="s">
        <v>5</v>
      </c>
      <c r="B7" t="s">
        <v>430</v>
      </c>
      <c r="C7" t="s">
        <v>397</v>
      </c>
      <c r="D7" t="s">
        <v>402</v>
      </c>
      <c r="E7" t="s">
        <v>410</v>
      </c>
      <c r="F7" t="s">
        <v>414</v>
      </c>
      <c r="G7">
        <v>159.45995893223818</v>
      </c>
      <c r="H7" t="s">
        <v>418</v>
      </c>
      <c r="J7">
        <v>107</v>
      </c>
      <c r="K7">
        <v>124</v>
      </c>
      <c r="L7">
        <v>117</v>
      </c>
      <c r="M7">
        <v>119</v>
      </c>
      <c r="N7">
        <v>123</v>
      </c>
    </row>
    <row r="8" spans="1:14" x14ac:dyDescent="0.2">
      <c r="A8" t="s">
        <v>6</v>
      </c>
      <c r="B8" t="s">
        <v>431</v>
      </c>
      <c r="C8" t="s">
        <v>397</v>
      </c>
      <c r="D8" t="s">
        <v>402</v>
      </c>
      <c r="E8" t="s">
        <v>410</v>
      </c>
      <c r="F8" t="s">
        <v>413</v>
      </c>
      <c r="G8">
        <v>130.70431211498973</v>
      </c>
      <c r="H8" t="s">
        <v>418</v>
      </c>
      <c r="J8">
        <v>109</v>
      </c>
      <c r="K8">
        <v>89</v>
      </c>
      <c r="L8">
        <v>93</v>
      </c>
      <c r="M8">
        <v>96</v>
      </c>
      <c r="N8">
        <v>90</v>
      </c>
    </row>
    <row r="9" spans="1:14" x14ac:dyDescent="0.2">
      <c r="A9" t="s">
        <v>7</v>
      </c>
      <c r="B9" t="s">
        <v>432</v>
      </c>
      <c r="C9" t="s">
        <v>397</v>
      </c>
      <c r="D9" t="s">
        <v>402</v>
      </c>
      <c r="E9" t="s">
        <v>410</v>
      </c>
      <c r="F9" t="s">
        <v>415</v>
      </c>
      <c r="G9">
        <v>103.70431211498973</v>
      </c>
      <c r="H9" t="s">
        <v>418</v>
      </c>
      <c r="J9">
        <v>108</v>
      </c>
      <c r="K9">
        <v>135</v>
      </c>
      <c r="L9">
        <v>108</v>
      </c>
      <c r="M9">
        <v>121</v>
      </c>
      <c r="N9">
        <v>125</v>
      </c>
    </row>
    <row r="10" spans="1:14" x14ac:dyDescent="0.2">
      <c r="A10" t="s">
        <v>8</v>
      </c>
      <c r="B10" t="s">
        <v>433</v>
      </c>
      <c r="C10" t="s">
        <v>397</v>
      </c>
      <c r="D10" t="s">
        <v>402</v>
      </c>
      <c r="E10" t="s">
        <v>410</v>
      </c>
      <c r="F10" t="s">
        <v>413</v>
      </c>
      <c r="G10">
        <v>125.21560574948666</v>
      </c>
      <c r="H10" t="s">
        <v>418</v>
      </c>
      <c r="J10">
        <v>86</v>
      </c>
      <c r="K10">
        <v>118</v>
      </c>
      <c r="L10">
        <v>98</v>
      </c>
      <c r="M10">
        <v>104</v>
      </c>
      <c r="N10">
        <v>109</v>
      </c>
    </row>
    <row r="11" spans="1:14" x14ac:dyDescent="0.2">
      <c r="A11" t="s">
        <v>9</v>
      </c>
      <c r="B11" t="s">
        <v>434</v>
      </c>
      <c r="C11" t="s">
        <v>397</v>
      </c>
      <c r="D11" t="s">
        <v>402</v>
      </c>
      <c r="E11" t="s">
        <v>410</v>
      </c>
      <c r="F11" t="s">
        <v>415</v>
      </c>
      <c r="G11">
        <v>97.215605749486656</v>
      </c>
      <c r="H11" t="s">
        <v>418</v>
      </c>
      <c r="J11">
        <v>119</v>
      </c>
      <c r="K11">
        <v>115</v>
      </c>
      <c r="L11">
        <v>115</v>
      </c>
      <c r="M11">
        <v>119</v>
      </c>
      <c r="N11">
        <v>117</v>
      </c>
    </row>
    <row r="12" spans="1:14" x14ac:dyDescent="0.2">
      <c r="A12" t="s">
        <v>10</v>
      </c>
      <c r="B12" t="s">
        <v>435</v>
      </c>
      <c r="C12" t="s">
        <v>397</v>
      </c>
      <c r="D12" t="s">
        <v>402</v>
      </c>
      <c r="E12" t="s">
        <v>410</v>
      </c>
      <c r="F12" t="s">
        <v>413</v>
      </c>
      <c r="G12">
        <v>190.16427104722791</v>
      </c>
      <c r="H12" t="s">
        <v>418</v>
      </c>
      <c r="J12">
        <v>91</v>
      </c>
      <c r="K12">
        <v>73</v>
      </c>
      <c r="L12">
        <v>99</v>
      </c>
      <c r="M12">
        <v>85</v>
      </c>
      <c r="N12">
        <v>84</v>
      </c>
    </row>
    <row r="13" spans="1:14" x14ac:dyDescent="0.2">
      <c r="A13" t="s">
        <v>11</v>
      </c>
      <c r="B13" t="s">
        <v>436</v>
      </c>
      <c r="C13" t="s">
        <v>397</v>
      </c>
      <c r="D13" t="s">
        <v>404</v>
      </c>
      <c r="E13" t="s">
        <v>411</v>
      </c>
      <c r="F13" t="s">
        <v>413</v>
      </c>
      <c r="G13">
        <v>197.13963039014374</v>
      </c>
      <c r="H13" t="s">
        <v>418</v>
      </c>
      <c r="J13">
        <v>115</v>
      </c>
      <c r="K13">
        <v>125</v>
      </c>
      <c r="L13">
        <v>88</v>
      </c>
      <c r="M13">
        <v>112</v>
      </c>
      <c r="N13">
        <v>110</v>
      </c>
    </row>
    <row r="14" spans="1:14" x14ac:dyDescent="0.2">
      <c r="A14" t="s">
        <v>12</v>
      </c>
      <c r="B14" t="s">
        <v>437</v>
      </c>
      <c r="C14" t="s">
        <v>397</v>
      </c>
      <c r="D14" t="s">
        <v>402</v>
      </c>
      <c r="E14" t="s">
        <v>410</v>
      </c>
      <c r="F14" t="s">
        <v>414</v>
      </c>
      <c r="G14">
        <v>208.29568788501027</v>
      </c>
      <c r="H14" t="s">
        <v>418</v>
      </c>
      <c r="J14">
        <v>114</v>
      </c>
      <c r="K14">
        <v>120</v>
      </c>
      <c r="L14">
        <v>87</v>
      </c>
      <c r="M14">
        <v>109</v>
      </c>
      <c r="N14">
        <v>105</v>
      </c>
    </row>
    <row r="15" spans="1:14" x14ac:dyDescent="0.2">
      <c r="A15" t="s">
        <v>13</v>
      </c>
      <c r="B15" t="s">
        <v>438</v>
      </c>
      <c r="C15" t="s">
        <v>397</v>
      </c>
      <c r="D15" t="s">
        <v>402</v>
      </c>
      <c r="E15" t="s">
        <v>410</v>
      </c>
      <c r="F15" t="s">
        <v>414</v>
      </c>
      <c r="G15">
        <v>99.197125256673516</v>
      </c>
      <c r="H15" t="s">
        <v>418</v>
      </c>
      <c r="J15">
        <v>96</v>
      </c>
      <c r="K15">
        <v>107</v>
      </c>
      <c r="L15">
        <v>112</v>
      </c>
      <c r="M15">
        <v>105</v>
      </c>
      <c r="N15">
        <v>112</v>
      </c>
    </row>
    <row r="16" spans="1:14" x14ac:dyDescent="0.2">
      <c r="A16" t="s">
        <v>14</v>
      </c>
      <c r="B16" t="s">
        <v>439</v>
      </c>
      <c r="C16" t="s">
        <v>397</v>
      </c>
      <c r="D16" t="s">
        <v>404</v>
      </c>
      <c r="E16" t="s">
        <v>411</v>
      </c>
      <c r="F16" t="s">
        <v>413</v>
      </c>
      <c r="G16">
        <v>194.90143737166323</v>
      </c>
      <c r="H16" t="s">
        <v>418</v>
      </c>
      <c r="J16">
        <v>89</v>
      </c>
      <c r="K16">
        <v>99</v>
      </c>
      <c r="L16">
        <v>113</v>
      </c>
      <c r="M16">
        <v>100</v>
      </c>
      <c r="N16">
        <v>106</v>
      </c>
    </row>
    <row r="17" spans="1:14" x14ac:dyDescent="0.2">
      <c r="A17" t="s">
        <v>15</v>
      </c>
      <c r="B17" t="s">
        <v>440</v>
      </c>
      <c r="C17" t="s">
        <v>397</v>
      </c>
      <c r="D17" t="s">
        <v>402</v>
      </c>
      <c r="E17" t="s">
        <v>410</v>
      </c>
      <c r="F17" t="s">
        <v>414</v>
      </c>
      <c r="G17">
        <v>122.14989733059548</v>
      </c>
      <c r="H17" t="s">
        <v>419</v>
      </c>
      <c r="J17">
        <v>84</v>
      </c>
      <c r="K17">
        <v>74</v>
      </c>
      <c r="L17">
        <v>99</v>
      </c>
      <c r="M17">
        <v>83</v>
      </c>
      <c r="N17">
        <v>84</v>
      </c>
    </row>
    <row r="18" spans="1:14" x14ac:dyDescent="0.2">
      <c r="A18" t="s">
        <v>16</v>
      </c>
      <c r="B18" t="s">
        <v>441</v>
      </c>
      <c r="C18" t="s">
        <v>397</v>
      </c>
      <c r="D18" t="s">
        <v>402</v>
      </c>
      <c r="E18" t="s">
        <v>410</v>
      </c>
      <c r="F18" t="s">
        <v>414</v>
      </c>
      <c r="G18">
        <v>101.75154004106776</v>
      </c>
      <c r="H18" t="s">
        <v>419</v>
      </c>
      <c r="J18">
        <v>113</v>
      </c>
      <c r="K18">
        <v>102</v>
      </c>
      <c r="L18">
        <v>105</v>
      </c>
      <c r="M18">
        <v>107</v>
      </c>
      <c r="N18">
        <v>104</v>
      </c>
    </row>
    <row r="19" spans="1:14" x14ac:dyDescent="0.2">
      <c r="A19" t="s">
        <v>17</v>
      </c>
      <c r="B19" t="s">
        <v>442</v>
      </c>
      <c r="C19" t="s">
        <v>397</v>
      </c>
      <c r="D19" t="s">
        <v>402</v>
      </c>
      <c r="E19" t="s">
        <v>410</v>
      </c>
      <c r="F19" t="s">
        <v>413</v>
      </c>
      <c r="G19">
        <v>195.3100616016427</v>
      </c>
      <c r="H19" t="s">
        <v>418</v>
      </c>
      <c r="J19">
        <v>52</v>
      </c>
      <c r="K19">
        <v>79</v>
      </c>
      <c r="L19">
        <v>92</v>
      </c>
      <c r="M19">
        <v>71</v>
      </c>
      <c r="N19">
        <v>84</v>
      </c>
    </row>
    <row r="20" spans="1:14" x14ac:dyDescent="0.2">
      <c r="A20" t="s">
        <v>18</v>
      </c>
      <c r="B20" t="s">
        <v>443</v>
      </c>
      <c r="C20" t="s">
        <v>397</v>
      </c>
      <c r="D20" t="s">
        <v>402</v>
      </c>
      <c r="E20" t="s">
        <v>410</v>
      </c>
      <c r="F20" t="s">
        <v>413</v>
      </c>
      <c r="G20">
        <v>163.3100616016427</v>
      </c>
      <c r="H20" t="s">
        <v>419</v>
      </c>
      <c r="J20">
        <v>82</v>
      </c>
      <c r="K20">
        <v>100</v>
      </c>
      <c r="L20">
        <v>76</v>
      </c>
      <c r="M20">
        <v>84</v>
      </c>
      <c r="N20">
        <v>87</v>
      </c>
    </row>
    <row r="21" spans="1:14" x14ac:dyDescent="0.2">
      <c r="A21" t="s">
        <v>19</v>
      </c>
      <c r="B21" t="s">
        <v>444</v>
      </c>
      <c r="C21" t="s">
        <v>397</v>
      </c>
      <c r="D21" t="s">
        <v>402</v>
      </c>
      <c r="E21" t="s">
        <v>410</v>
      </c>
      <c r="F21" t="s">
        <v>413</v>
      </c>
      <c r="G21">
        <v>110.09856262833675</v>
      </c>
      <c r="H21" t="s">
        <v>418</v>
      </c>
      <c r="J21">
        <v>101</v>
      </c>
      <c r="K21">
        <v>92</v>
      </c>
      <c r="L21">
        <v>94</v>
      </c>
      <c r="M21">
        <v>94</v>
      </c>
      <c r="N21">
        <v>92</v>
      </c>
    </row>
    <row r="22" spans="1:14" x14ac:dyDescent="0.2">
      <c r="A22" t="s">
        <v>20</v>
      </c>
      <c r="B22" t="s">
        <v>445</v>
      </c>
      <c r="C22" t="s">
        <v>397</v>
      </c>
      <c r="D22" t="s">
        <v>404</v>
      </c>
      <c r="E22" t="s">
        <v>410</v>
      </c>
      <c r="F22" t="s">
        <v>413</v>
      </c>
      <c r="G22">
        <v>142.59137577002053</v>
      </c>
      <c r="H22" t="s">
        <v>419</v>
      </c>
      <c r="J22">
        <v>83</v>
      </c>
      <c r="K22">
        <v>105</v>
      </c>
      <c r="L22">
        <v>84</v>
      </c>
      <c r="M22">
        <v>89</v>
      </c>
      <c r="N22">
        <v>94</v>
      </c>
    </row>
    <row r="23" spans="1:14" x14ac:dyDescent="0.2">
      <c r="A23" t="s">
        <v>21</v>
      </c>
      <c r="B23" t="s">
        <v>446</v>
      </c>
      <c r="C23" t="s">
        <v>397</v>
      </c>
      <c r="D23" t="s">
        <v>404</v>
      </c>
      <c r="E23" t="s">
        <v>410</v>
      </c>
      <c r="F23" t="s">
        <v>415</v>
      </c>
      <c r="G23">
        <v>166</v>
      </c>
      <c r="H23" t="s">
        <v>419</v>
      </c>
      <c r="J23">
        <v>141</v>
      </c>
      <c r="K23">
        <v>134</v>
      </c>
      <c r="L23">
        <v>121</v>
      </c>
      <c r="M23">
        <v>140</v>
      </c>
      <c r="N23">
        <v>131</v>
      </c>
    </row>
    <row r="24" spans="1:14" x14ac:dyDescent="0.2">
      <c r="A24" t="s">
        <v>22</v>
      </c>
      <c r="B24" t="s">
        <v>447</v>
      </c>
      <c r="C24" t="s">
        <v>397</v>
      </c>
      <c r="D24" t="s">
        <v>402</v>
      </c>
      <c r="E24" t="s">
        <v>410</v>
      </c>
      <c r="F24" t="s">
        <v>413</v>
      </c>
      <c r="G24">
        <v>125</v>
      </c>
      <c r="H24" t="s">
        <v>418</v>
      </c>
      <c r="J24">
        <v>116</v>
      </c>
      <c r="K24">
        <v>59</v>
      </c>
      <c r="L24">
        <v>67</v>
      </c>
      <c r="M24">
        <v>77</v>
      </c>
      <c r="N24">
        <v>60</v>
      </c>
    </row>
    <row r="25" spans="1:14" x14ac:dyDescent="0.2">
      <c r="A25" t="s">
        <v>23</v>
      </c>
      <c r="B25" t="s">
        <v>448</v>
      </c>
      <c r="C25" t="s">
        <v>397</v>
      </c>
      <c r="D25" t="s">
        <v>402</v>
      </c>
      <c r="E25" t="s">
        <v>410</v>
      </c>
      <c r="F25" t="s">
        <v>413</v>
      </c>
      <c r="G25">
        <v>185.83983572895278</v>
      </c>
      <c r="H25" t="s">
        <v>418</v>
      </c>
      <c r="J25">
        <v>114</v>
      </c>
      <c r="K25">
        <v>115</v>
      </c>
      <c r="L25">
        <v>115</v>
      </c>
      <c r="M25">
        <v>117</v>
      </c>
      <c r="N25">
        <v>118</v>
      </c>
    </row>
    <row r="26" spans="1:14" x14ac:dyDescent="0.2">
      <c r="A26" t="s">
        <v>24</v>
      </c>
      <c r="B26" t="s">
        <v>449</v>
      </c>
      <c r="C26" t="s">
        <v>397</v>
      </c>
      <c r="D26" t="s">
        <v>402</v>
      </c>
      <c r="E26" t="s">
        <v>410</v>
      </c>
      <c r="F26" t="s">
        <v>413</v>
      </c>
      <c r="G26">
        <v>157.7741273100616</v>
      </c>
      <c r="H26" t="s">
        <v>418</v>
      </c>
      <c r="J26">
        <v>100</v>
      </c>
      <c r="K26">
        <v>91</v>
      </c>
      <c r="L26">
        <v>98</v>
      </c>
      <c r="M26">
        <v>95</v>
      </c>
      <c r="N26">
        <v>94</v>
      </c>
    </row>
    <row r="27" spans="1:14" x14ac:dyDescent="0.2">
      <c r="A27" t="s">
        <v>25</v>
      </c>
      <c r="B27" t="s">
        <v>450</v>
      </c>
      <c r="C27" t="s">
        <v>397</v>
      </c>
      <c r="D27" t="s">
        <v>402</v>
      </c>
      <c r="E27" t="s">
        <v>410</v>
      </c>
      <c r="F27" t="s">
        <v>413</v>
      </c>
      <c r="G27">
        <v>114.03285420944559</v>
      </c>
      <c r="H27" t="s">
        <v>418</v>
      </c>
      <c r="J27">
        <v>100</v>
      </c>
      <c r="K27">
        <v>104</v>
      </c>
      <c r="L27">
        <v>94</v>
      </c>
      <c r="M27">
        <v>93</v>
      </c>
      <c r="N27">
        <v>100</v>
      </c>
    </row>
    <row r="28" spans="1:14" x14ac:dyDescent="0.2">
      <c r="A28" t="s">
        <v>26</v>
      </c>
      <c r="B28" t="s">
        <v>451</v>
      </c>
      <c r="C28" t="s">
        <v>397</v>
      </c>
      <c r="D28" t="s">
        <v>402</v>
      </c>
      <c r="E28" t="s">
        <v>410</v>
      </c>
      <c r="F28" t="s">
        <v>413</v>
      </c>
      <c r="G28">
        <v>105.98973305954826</v>
      </c>
      <c r="H28" t="s">
        <v>418</v>
      </c>
      <c r="J28">
        <v>91</v>
      </c>
      <c r="K28">
        <v>102</v>
      </c>
      <c r="L28">
        <v>94</v>
      </c>
      <c r="M28">
        <v>95</v>
      </c>
      <c r="N28">
        <v>97</v>
      </c>
    </row>
    <row r="29" spans="1:14" x14ac:dyDescent="0.2">
      <c r="A29" t="s">
        <v>27</v>
      </c>
      <c r="B29" t="s">
        <v>452</v>
      </c>
      <c r="C29" t="s">
        <v>397</v>
      </c>
      <c r="D29" t="s">
        <v>402</v>
      </c>
      <c r="E29" t="s">
        <v>410</v>
      </c>
      <c r="F29" t="s">
        <v>413</v>
      </c>
      <c r="G29">
        <v>132.39014373716631</v>
      </c>
      <c r="H29" t="s">
        <v>419</v>
      </c>
      <c r="J29">
        <v>101</v>
      </c>
      <c r="K29">
        <v>94</v>
      </c>
      <c r="L29">
        <v>106</v>
      </c>
      <c r="M29">
        <v>100</v>
      </c>
      <c r="N29">
        <v>100</v>
      </c>
    </row>
    <row r="30" spans="1:14" x14ac:dyDescent="0.2">
      <c r="A30" t="s">
        <v>28</v>
      </c>
      <c r="B30" t="s">
        <v>453</v>
      </c>
      <c r="C30" t="s">
        <v>397</v>
      </c>
      <c r="D30" t="s">
        <v>405</v>
      </c>
      <c r="E30" t="s">
        <v>410</v>
      </c>
      <c r="F30" t="s">
        <v>413</v>
      </c>
      <c r="G30">
        <v>168.10266940451746</v>
      </c>
      <c r="H30" t="s">
        <v>418</v>
      </c>
      <c r="J30">
        <v>80</v>
      </c>
      <c r="K30">
        <v>125</v>
      </c>
      <c r="L30">
        <v>109</v>
      </c>
      <c r="M30">
        <v>105</v>
      </c>
      <c r="N30">
        <v>119</v>
      </c>
    </row>
    <row r="31" spans="1:14" x14ac:dyDescent="0.2">
      <c r="A31" t="s">
        <v>29</v>
      </c>
      <c r="B31" t="s">
        <v>454</v>
      </c>
      <c r="C31" t="s">
        <v>397</v>
      </c>
      <c r="D31" t="s">
        <v>404</v>
      </c>
      <c r="E31" t="s">
        <v>410</v>
      </c>
      <c r="F31" t="s">
        <v>413</v>
      </c>
      <c r="G31">
        <v>125.06570841889118</v>
      </c>
      <c r="H31" t="s">
        <v>418</v>
      </c>
      <c r="J31">
        <v>105</v>
      </c>
      <c r="K31">
        <v>118</v>
      </c>
      <c r="L31">
        <v>95</v>
      </c>
      <c r="M31">
        <v>107</v>
      </c>
      <c r="N31">
        <v>108</v>
      </c>
    </row>
    <row r="32" spans="1:14" x14ac:dyDescent="0.2">
      <c r="A32" t="s">
        <v>30</v>
      </c>
      <c r="B32" t="s">
        <v>455</v>
      </c>
      <c r="C32" t="s">
        <v>397</v>
      </c>
      <c r="D32" t="s">
        <v>404</v>
      </c>
      <c r="E32" t="s">
        <v>410</v>
      </c>
      <c r="F32" t="s">
        <v>415</v>
      </c>
      <c r="G32">
        <v>157.03285420944559</v>
      </c>
      <c r="H32" t="s">
        <v>419</v>
      </c>
      <c r="J32">
        <v>104</v>
      </c>
      <c r="K32">
        <v>116</v>
      </c>
      <c r="L32">
        <v>99</v>
      </c>
      <c r="M32">
        <v>107</v>
      </c>
      <c r="N32">
        <v>109</v>
      </c>
    </row>
    <row r="33" spans="1:14" x14ac:dyDescent="0.2">
      <c r="A33" t="s">
        <v>31</v>
      </c>
      <c r="B33" t="s">
        <v>456</v>
      </c>
      <c r="C33" t="s">
        <v>397</v>
      </c>
      <c r="D33" t="s">
        <v>404</v>
      </c>
      <c r="E33" t="s">
        <v>410</v>
      </c>
      <c r="F33" t="s">
        <v>415</v>
      </c>
      <c r="G33">
        <v>97.065708418891177</v>
      </c>
      <c r="H33" t="s">
        <v>419</v>
      </c>
      <c r="J33">
        <v>103</v>
      </c>
      <c r="K33">
        <v>109</v>
      </c>
      <c r="L33">
        <v>99</v>
      </c>
      <c r="M33">
        <v>104</v>
      </c>
      <c r="N33">
        <v>105</v>
      </c>
    </row>
    <row r="34" spans="1:14" x14ac:dyDescent="0.2">
      <c r="A34" t="s">
        <v>32</v>
      </c>
      <c r="B34" t="s">
        <v>457</v>
      </c>
      <c r="C34" t="s">
        <v>397</v>
      </c>
      <c r="D34" t="s">
        <v>402</v>
      </c>
      <c r="E34" t="s">
        <v>410</v>
      </c>
      <c r="F34" t="s">
        <v>413</v>
      </c>
      <c r="G34">
        <v>126.59137577002053</v>
      </c>
      <c r="H34" t="s">
        <v>419</v>
      </c>
      <c r="J34">
        <v>109</v>
      </c>
      <c r="K34">
        <v>118</v>
      </c>
      <c r="L34">
        <v>98</v>
      </c>
      <c r="M34">
        <v>110</v>
      </c>
      <c r="N34">
        <v>109</v>
      </c>
    </row>
    <row r="35" spans="1:14" x14ac:dyDescent="0.2">
      <c r="A35" t="s">
        <v>33</v>
      </c>
      <c r="B35" t="s">
        <v>458</v>
      </c>
      <c r="C35" t="s">
        <v>397</v>
      </c>
      <c r="D35" t="s">
        <v>402</v>
      </c>
      <c r="E35" t="s">
        <v>410</v>
      </c>
      <c r="F35" t="s">
        <v>413</v>
      </c>
      <c r="G35">
        <v>103.49075975359342</v>
      </c>
      <c r="H35" t="s">
        <v>418</v>
      </c>
      <c r="J35">
        <v>117</v>
      </c>
      <c r="K35">
        <v>119</v>
      </c>
      <c r="L35">
        <v>99</v>
      </c>
      <c r="M35">
        <v>114</v>
      </c>
      <c r="N35">
        <v>110</v>
      </c>
    </row>
    <row r="36" spans="1:14" x14ac:dyDescent="0.2">
      <c r="A36" t="s">
        <v>34</v>
      </c>
      <c r="B36" t="s">
        <v>459</v>
      </c>
      <c r="C36" t="s">
        <v>397</v>
      </c>
      <c r="D36" t="s">
        <v>402</v>
      </c>
      <c r="E36" t="s">
        <v>410</v>
      </c>
      <c r="F36" t="s">
        <v>413</v>
      </c>
      <c r="G36">
        <v>213.94661190965093</v>
      </c>
      <c r="H36" t="s">
        <v>419</v>
      </c>
      <c r="J36">
        <v>159</v>
      </c>
      <c r="K36">
        <v>142</v>
      </c>
      <c r="L36">
        <v>118</v>
      </c>
      <c r="M36">
        <v>149</v>
      </c>
      <c r="N36">
        <v>134</v>
      </c>
    </row>
    <row r="37" spans="1:14" x14ac:dyDescent="0.2">
      <c r="A37" t="s">
        <v>35</v>
      </c>
      <c r="B37" t="s">
        <v>460</v>
      </c>
      <c r="C37" t="s">
        <v>397</v>
      </c>
      <c r="D37" t="s">
        <v>402</v>
      </c>
      <c r="E37" t="s">
        <v>410</v>
      </c>
      <c r="F37" t="s">
        <v>415</v>
      </c>
      <c r="G37">
        <v>178.00410677618069</v>
      </c>
      <c r="H37" t="s">
        <v>419</v>
      </c>
      <c r="J37">
        <v>112</v>
      </c>
      <c r="K37">
        <v>113</v>
      </c>
      <c r="L37">
        <v>94</v>
      </c>
      <c r="M37">
        <v>108</v>
      </c>
      <c r="N37">
        <v>105</v>
      </c>
    </row>
    <row r="38" spans="1:14" x14ac:dyDescent="0.2">
      <c r="A38" t="s">
        <v>36</v>
      </c>
      <c r="B38" t="s">
        <v>461</v>
      </c>
      <c r="C38" t="s">
        <v>397</v>
      </c>
      <c r="D38" t="s">
        <v>403</v>
      </c>
      <c r="E38" t="s">
        <v>410</v>
      </c>
      <c r="F38" t="s">
        <v>413</v>
      </c>
      <c r="G38">
        <v>121</v>
      </c>
      <c r="H38" t="s">
        <v>418</v>
      </c>
      <c r="J38">
        <v>81</v>
      </c>
      <c r="K38">
        <v>80</v>
      </c>
      <c r="L38">
        <v>83</v>
      </c>
      <c r="M38">
        <v>79</v>
      </c>
      <c r="N38">
        <v>80</v>
      </c>
    </row>
    <row r="39" spans="1:14" x14ac:dyDescent="0.2">
      <c r="A39" t="s">
        <v>37</v>
      </c>
      <c r="B39" t="s">
        <v>462</v>
      </c>
      <c r="C39" t="s">
        <v>397</v>
      </c>
      <c r="D39" t="s">
        <v>402</v>
      </c>
      <c r="E39" t="s">
        <v>410</v>
      </c>
      <c r="F39" t="s">
        <v>413</v>
      </c>
      <c r="G39">
        <v>112.13141683778234</v>
      </c>
      <c r="H39" t="s">
        <v>419</v>
      </c>
      <c r="J39">
        <v>103</v>
      </c>
      <c r="K39">
        <v>110</v>
      </c>
      <c r="L39">
        <v>98</v>
      </c>
      <c r="M39">
        <v>104</v>
      </c>
      <c r="N39">
        <v>105</v>
      </c>
    </row>
    <row r="40" spans="1:14" x14ac:dyDescent="0.2">
      <c r="A40" t="s">
        <v>38</v>
      </c>
      <c r="B40" t="s">
        <v>463</v>
      </c>
      <c r="C40" t="s">
        <v>397</v>
      </c>
      <c r="D40" t="s">
        <v>402</v>
      </c>
      <c r="E40" t="s">
        <v>410</v>
      </c>
      <c r="F40" t="s">
        <v>413</v>
      </c>
      <c r="G40">
        <v>104.50718685831622</v>
      </c>
      <c r="H40" t="s">
        <v>419</v>
      </c>
      <c r="J40">
        <v>132</v>
      </c>
      <c r="K40">
        <v>158</v>
      </c>
      <c r="L40">
        <v>120</v>
      </c>
      <c r="M40">
        <v>145</v>
      </c>
      <c r="N40">
        <v>143</v>
      </c>
    </row>
    <row r="41" spans="1:14" x14ac:dyDescent="0.2">
      <c r="A41" t="s">
        <v>39</v>
      </c>
      <c r="B41" t="s">
        <v>464</v>
      </c>
      <c r="C41" t="s">
        <v>397</v>
      </c>
      <c r="D41" t="s">
        <v>402</v>
      </c>
      <c r="E41" t="s">
        <v>410</v>
      </c>
      <c r="F41" t="s">
        <v>413</v>
      </c>
      <c r="G41">
        <v>144.75154004106776</v>
      </c>
      <c r="H41" t="s">
        <v>418</v>
      </c>
      <c r="J41">
        <v>96</v>
      </c>
      <c r="K41">
        <v>100</v>
      </c>
      <c r="L41">
        <v>113</v>
      </c>
      <c r="M41">
        <v>103</v>
      </c>
      <c r="N41">
        <v>107</v>
      </c>
    </row>
    <row r="42" spans="1:14" x14ac:dyDescent="0.2">
      <c r="A42" t="s">
        <v>40</v>
      </c>
      <c r="B42" t="s">
        <v>465</v>
      </c>
      <c r="C42" t="s">
        <v>397</v>
      </c>
      <c r="D42" t="s">
        <v>404</v>
      </c>
      <c r="E42" t="s">
        <v>410</v>
      </c>
      <c r="F42" t="s">
        <v>414</v>
      </c>
      <c r="G42">
        <v>167.39219712525667</v>
      </c>
      <c r="H42" t="s">
        <v>419</v>
      </c>
      <c r="J42">
        <v>109</v>
      </c>
      <c r="K42">
        <v>112</v>
      </c>
      <c r="L42">
        <v>100</v>
      </c>
      <c r="M42">
        <v>109</v>
      </c>
      <c r="N42">
        <v>108</v>
      </c>
    </row>
    <row r="43" spans="1:14" x14ac:dyDescent="0.2">
      <c r="A43" t="s">
        <v>41</v>
      </c>
      <c r="B43" t="s">
        <v>466</v>
      </c>
      <c r="C43" t="s">
        <v>397</v>
      </c>
      <c r="D43" t="s">
        <v>402</v>
      </c>
      <c r="E43" t="s">
        <v>410</v>
      </c>
      <c r="F43" t="s">
        <v>413</v>
      </c>
      <c r="G43">
        <v>176.39425051334703</v>
      </c>
      <c r="H43" t="s">
        <v>419</v>
      </c>
      <c r="J43">
        <v>103</v>
      </c>
      <c r="K43">
        <v>99</v>
      </c>
      <c r="L43">
        <v>89</v>
      </c>
      <c r="M43">
        <v>96</v>
      </c>
      <c r="N43">
        <v>94</v>
      </c>
    </row>
    <row r="44" spans="1:14" x14ac:dyDescent="0.2">
      <c r="A44" t="s">
        <v>42</v>
      </c>
      <c r="B44" t="s">
        <v>467</v>
      </c>
      <c r="C44" t="s">
        <v>397</v>
      </c>
      <c r="D44" t="s">
        <v>402</v>
      </c>
      <c r="E44" t="s">
        <v>410</v>
      </c>
      <c r="F44" t="s">
        <v>413</v>
      </c>
      <c r="G44">
        <v>210.89117043121149</v>
      </c>
      <c r="H44" t="s">
        <v>418</v>
      </c>
      <c r="J44">
        <v>108</v>
      </c>
      <c r="K44">
        <v>90</v>
      </c>
      <c r="L44">
        <v>90</v>
      </c>
      <c r="M44">
        <v>95</v>
      </c>
      <c r="N44">
        <v>89</v>
      </c>
    </row>
    <row r="45" spans="1:14" x14ac:dyDescent="0.2">
      <c r="A45" t="s">
        <v>43</v>
      </c>
      <c r="B45" t="s">
        <v>468</v>
      </c>
      <c r="C45" t="s">
        <v>397</v>
      </c>
      <c r="D45" t="s">
        <v>402</v>
      </c>
      <c r="E45" t="s">
        <v>410</v>
      </c>
      <c r="F45" t="s">
        <v>413</v>
      </c>
      <c r="G45">
        <v>104.73921971252567</v>
      </c>
      <c r="H45" t="s">
        <v>419</v>
      </c>
      <c r="J45">
        <v>120</v>
      </c>
      <c r="K45">
        <v>97</v>
      </c>
      <c r="L45">
        <v>84</v>
      </c>
      <c r="M45">
        <v>100</v>
      </c>
      <c r="N45">
        <v>91</v>
      </c>
    </row>
    <row r="46" spans="1:14" x14ac:dyDescent="0.2">
      <c r="A46" t="s">
        <v>44</v>
      </c>
      <c r="B46" t="s">
        <v>469</v>
      </c>
      <c r="C46" t="s">
        <v>397</v>
      </c>
      <c r="D46" t="s">
        <v>402</v>
      </c>
      <c r="E46" t="s">
        <v>410</v>
      </c>
      <c r="F46" t="s">
        <v>414</v>
      </c>
      <c r="G46">
        <v>203.53388090349077</v>
      </c>
      <c r="H46" t="s">
        <v>418</v>
      </c>
      <c r="J46">
        <v>122</v>
      </c>
      <c r="K46">
        <v>139</v>
      </c>
      <c r="L46">
        <v>109</v>
      </c>
      <c r="M46">
        <v>131</v>
      </c>
      <c r="N46">
        <v>127</v>
      </c>
    </row>
    <row r="47" spans="1:14" x14ac:dyDescent="0.2">
      <c r="A47" t="s">
        <v>45</v>
      </c>
      <c r="B47" t="s">
        <v>470</v>
      </c>
      <c r="C47" t="s">
        <v>397</v>
      </c>
      <c r="D47" t="s">
        <v>402</v>
      </c>
      <c r="E47" t="s">
        <v>410</v>
      </c>
      <c r="F47" t="s">
        <v>414</v>
      </c>
      <c r="G47">
        <v>208.49281314168377</v>
      </c>
      <c r="H47" t="s">
        <v>419</v>
      </c>
      <c r="J47">
        <v>146</v>
      </c>
      <c r="K47">
        <v>107</v>
      </c>
      <c r="L47">
        <v>117</v>
      </c>
      <c r="M47">
        <v>129</v>
      </c>
      <c r="N47">
        <v>114</v>
      </c>
    </row>
    <row r="48" spans="1:14" x14ac:dyDescent="0.2">
      <c r="A48" t="s">
        <v>46</v>
      </c>
      <c r="B48" t="s">
        <v>471</v>
      </c>
      <c r="C48" t="s">
        <v>397</v>
      </c>
      <c r="D48" t="s">
        <v>402</v>
      </c>
      <c r="E48" t="s">
        <v>410</v>
      </c>
      <c r="F48" t="s">
        <v>414</v>
      </c>
      <c r="G48">
        <v>181.02669404517454</v>
      </c>
      <c r="H48" t="s">
        <v>418</v>
      </c>
      <c r="J48">
        <v>119</v>
      </c>
      <c r="K48">
        <v>110</v>
      </c>
      <c r="L48">
        <v>146</v>
      </c>
      <c r="M48">
        <v>134</v>
      </c>
      <c r="N48">
        <v>130</v>
      </c>
    </row>
    <row r="49" spans="1:14" x14ac:dyDescent="0.2">
      <c r="A49" t="s">
        <v>47</v>
      </c>
      <c r="B49" t="s">
        <v>472</v>
      </c>
      <c r="C49" t="s">
        <v>397</v>
      </c>
      <c r="D49" t="s">
        <v>403</v>
      </c>
      <c r="E49" t="s">
        <v>410</v>
      </c>
      <c r="F49" t="s">
        <v>414</v>
      </c>
      <c r="G49">
        <v>195.64271047227925</v>
      </c>
      <c r="H49" t="s">
        <v>419</v>
      </c>
      <c r="J49">
        <v>89</v>
      </c>
      <c r="K49">
        <v>87</v>
      </c>
      <c r="L49">
        <v>80</v>
      </c>
      <c r="M49">
        <v>82</v>
      </c>
      <c r="N49">
        <v>82</v>
      </c>
    </row>
    <row r="50" spans="1:14" x14ac:dyDescent="0.2">
      <c r="A50" t="s">
        <v>48</v>
      </c>
      <c r="B50" t="s">
        <v>473</v>
      </c>
      <c r="C50" t="s">
        <v>397</v>
      </c>
      <c r="D50" t="s">
        <v>404</v>
      </c>
      <c r="E50" t="s">
        <v>410</v>
      </c>
      <c r="F50" t="s">
        <v>413</v>
      </c>
      <c r="G50">
        <v>123.03901437371663</v>
      </c>
      <c r="H50" t="s">
        <v>419</v>
      </c>
      <c r="J50">
        <v>82</v>
      </c>
      <c r="K50">
        <v>120</v>
      </c>
      <c r="L50">
        <v>126</v>
      </c>
      <c r="M50">
        <v>111</v>
      </c>
      <c r="N50">
        <v>125</v>
      </c>
    </row>
    <row r="51" spans="1:14" x14ac:dyDescent="0.2">
      <c r="A51" t="s">
        <v>49</v>
      </c>
      <c r="B51" t="s">
        <v>474</v>
      </c>
      <c r="C51" t="s">
        <v>397</v>
      </c>
      <c r="D51" t="s">
        <v>402</v>
      </c>
      <c r="E51" t="s">
        <v>410</v>
      </c>
      <c r="F51" t="s">
        <v>413</v>
      </c>
      <c r="G51">
        <v>102.03696098562628</v>
      </c>
      <c r="H51" t="s">
        <v>418</v>
      </c>
      <c r="J51">
        <v>123</v>
      </c>
      <c r="K51">
        <v>118</v>
      </c>
      <c r="L51">
        <v>104</v>
      </c>
      <c r="M51">
        <v>118</v>
      </c>
      <c r="N51">
        <v>113</v>
      </c>
    </row>
    <row r="52" spans="1:14" x14ac:dyDescent="0.2">
      <c r="A52" t="s">
        <v>50</v>
      </c>
      <c r="B52" t="s">
        <v>475</v>
      </c>
      <c r="C52" t="s">
        <v>397</v>
      </c>
      <c r="D52" t="s">
        <v>402</v>
      </c>
      <c r="E52" t="s">
        <v>410</v>
      </c>
      <c r="F52" t="s">
        <v>413</v>
      </c>
      <c r="G52">
        <v>105.05544147843942</v>
      </c>
      <c r="H52" t="s">
        <v>418</v>
      </c>
      <c r="J52">
        <v>105</v>
      </c>
      <c r="K52">
        <v>111</v>
      </c>
      <c r="L52">
        <v>125</v>
      </c>
      <c r="M52">
        <v>116</v>
      </c>
      <c r="N52">
        <v>119</v>
      </c>
    </row>
    <row r="53" spans="1:14" x14ac:dyDescent="0.2">
      <c r="A53" t="s">
        <v>51</v>
      </c>
      <c r="B53" t="s">
        <v>476</v>
      </c>
      <c r="C53" t="s">
        <v>397</v>
      </c>
      <c r="D53" t="s">
        <v>402</v>
      </c>
      <c r="E53" t="s">
        <v>410</v>
      </c>
      <c r="F53" t="s">
        <v>414</v>
      </c>
      <c r="G53">
        <v>183.98357289527721</v>
      </c>
      <c r="H53" t="s">
        <v>418</v>
      </c>
      <c r="J53">
        <v>120</v>
      </c>
      <c r="K53">
        <v>105</v>
      </c>
      <c r="L53">
        <v>95</v>
      </c>
      <c r="M53">
        <v>108</v>
      </c>
      <c r="N53">
        <v>101</v>
      </c>
    </row>
    <row r="54" spans="1:14" x14ac:dyDescent="0.2">
      <c r="A54" t="s">
        <v>52</v>
      </c>
      <c r="B54" t="s">
        <v>477</v>
      </c>
      <c r="C54" t="s">
        <v>397</v>
      </c>
      <c r="D54" t="s">
        <v>402</v>
      </c>
      <c r="E54" t="s">
        <v>410</v>
      </c>
      <c r="F54" t="s">
        <v>414</v>
      </c>
      <c r="G54">
        <v>156.48459958932239</v>
      </c>
      <c r="H54" t="s">
        <v>418</v>
      </c>
      <c r="J54">
        <v>135</v>
      </c>
      <c r="K54">
        <v>138</v>
      </c>
      <c r="L54">
        <v>110</v>
      </c>
      <c r="M54">
        <v>135</v>
      </c>
      <c r="N54">
        <v>127</v>
      </c>
    </row>
    <row r="55" spans="1:14" x14ac:dyDescent="0.2">
      <c r="A55" t="s">
        <v>53</v>
      </c>
      <c r="B55" t="s">
        <v>478</v>
      </c>
      <c r="C55" t="s">
        <v>397</v>
      </c>
      <c r="D55" t="s">
        <v>402</v>
      </c>
      <c r="E55" t="s">
        <v>410</v>
      </c>
      <c r="F55" t="s">
        <v>414</v>
      </c>
      <c r="G55">
        <v>118.24229979466119</v>
      </c>
      <c r="H55" t="s">
        <v>419</v>
      </c>
      <c r="J55">
        <v>113</v>
      </c>
      <c r="K55">
        <v>125</v>
      </c>
      <c r="L55">
        <v>124</v>
      </c>
      <c r="M55">
        <v>126</v>
      </c>
      <c r="N55">
        <v>127</v>
      </c>
    </row>
    <row r="56" spans="1:14" x14ac:dyDescent="0.2">
      <c r="A56" t="s">
        <v>54</v>
      </c>
      <c r="B56" t="s">
        <v>479</v>
      </c>
      <c r="C56" t="s">
        <v>397</v>
      </c>
      <c r="D56" t="s">
        <v>402</v>
      </c>
      <c r="E56" t="s">
        <v>410</v>
      </c>
      <c r="F56" t="s">
        <v>414</v>
      </c>
      <c r="G56">
        <v>107.1047227926078</v>
      </c>
      <c r="H56" t="s">
        <v>418</v>
      </c>
      <c r="J56">
        <v>131</v>
      </c>
      <c r="K56">
        <v>133</v>
      </c>
      <c r="L56">
        <v>123</v>
      </c>
      <c r="M56">
        <v>136</v>
      </c>
      <c r="N56">
        <v>131</v>
      </c>
    </row>
    <row r="57" spans="1:14" x14ac:dyDescent="0.2">
      <c r="A57" t="s">
        <v>55</v>
      </c>
      <c r="B57" t="s">
        <v>480</v>
      </c>
      <c r="C57" t="s">
        <v>397</v>
      </c>
      <c r="D57" t="s">
        <v>402</v>
      </c>
      <c r="E57" t="s">
        <v>410</v>
      </c>
      <c r="F57" t="s">
        <v>414</v>
      </c>
      <c r="G57">
        <v>101.25667351129364</v>
      </c>
      <c r="H57" t="s">
        <v>419</v>
      </c>
      <c r="J57">
        <v>113</v>
      </c>
      <c r="K57">
        <v>128</v>
      </c>
      <c r="L57">
        <v>112</v>
      </c>
      <c r="M57">
        <v>122</v>
      </c>
      <c r="N57">
        <v>123</v>
      </c>
    </row>
    <row r="58" spans="1:14" x14ac:dyDescent="0.2">
      <c r="A58" t="s">
        <v>56</v>
      </c>
      <c r="B58" t="s">
        <v>481</v>
      </c>
      <c r="C58" t="s">
        <v>397</v>
      </c>
      <c r="D58" t="s">
        <v>402</v>
      </c>
      <c r="E58" t="s">
        <v>410</v>
      </c>
      <c r="F58" t="s">
        <v>413</v>
      </c>
      <c r="G58">
        <v>200.27926078028747</v>
      </c>
      <c r="H58" t="s">
        <v>418</v>
      </c>
      <c r="J58">
        <v>86</v>
      </c>
      <c r="K58">
        <v>77</v>
      </c>
      <c r="L58">
        <v>95</v>
      </c>
      <c r="M58">
        <v>83</v>
      </c>
      <c r="N58">
        <v>84</v>
      </c>
    </row>
    <row r="59" spans="1:14" x14ac:dyDescent="0.2">
      <c r="A59" t="s">
        <v>57</v>
      </c>
      <c r="B59" t="s">
        <v>482</v>
      </c>
      <c r="C59" t="s">
        <v>397</v>
      </c>
      <c r="D59" t="s">
        <v>402</v>
      </c>
      <c r="E59" t="s">
        <v>410</v>
      </c>
      <c r="F59" t="s">
        <v>414</v>
      </c>
      <c r="G59">
        <v>182.06981519507187</v>
      </c>
      <c r="H59" t="s">
        <v>418</v>
      </c>
      <c r="J59">
        <v>117</v>
      </c>
      <c r="K59">
        <v>108</v>
      </c>
      <c r="L59">
        <v>102</v>
      </c>
      <c r="M59">
        <v>111</v>
      </c>
      <c r="N59">
        <v>106</v>
      </c>
    </row>
    <row r="60" spans="1:14" x14ac:dyDescent="0.2">
      <c r="A60" t="s">
        <v>58</v>
      </c>
      <c r="B60" t="s">
        <v>483</v>
      </c>
      <c r="C60" t="s">
        <v>397</v>
      </c>
      <c r="D60" t="s">
        <v>404</v>
      </c>
      <c r="E60" t="s">
        <v>410</v>
      </c>
      <c r="F60" t="s">
        <v>413</v>
      </c>
      <c r="G60">
        <v>172.6488706365503</v>
      </c>
      <c r="H60" t="s">
        <v>418</v>
      </c>
      <c r="J60">
        <v>93</v>
      </c>
      <c r="K60">
        <v>96</v>
      </c>
      <c r="L60">
        <v>107</v>
      </c>
      <c r="M60">
        <v>98</v>
      </c>
      <c r="N60">
        <v>101</v>
      </c>
    </row>
    <row r="61" spans="1:14" x14ac:dyDescent="0.2">
      <c r="A61" t="s">
        <v>59</v>
      </c>
      <c r="B61" t="s">
        <v>484</v>
      </c>
      <c r="C61" t="s">
        <v>397</v>
      </c>
      <c r="D61" t="s">
        <v>402</v>
      </c>
      <c r="E61" t="s">
        <v>410</v>
      </c>
      <c r="F61" t="s">
        <v>413</v>
      </c>
      <c r="G61">
        <v>209.70841889117042</v>
      </c>
      <c r="H61" t="s">
        <v>418</v>
      </c>
      <c r="J61">
        <v>62</v>
      </c>
      <c r="K61">
        <v>78</v>
      </c>
      <c r="L61">
        <v>86</v>
      </c>
      <c r="M61">
        <v>72</v>
      </c>
      <c r="N61">
        <v>80</v>
      </c>
    </row>
    <row r="62" spans="1:14" x14ac:dyDescent="0.2">
      <c r="A62" t="s">
        <v>60</v>
      </c>
      <c r="B62" t="s">
        <v>485</v>
      </c>
      <c r="C62" t="s">
        <v>397</v>
      </c>
      <c r="D62" t="s">
        <v>402</v>
      </c>
      <c r="E62" t="s">
        <v>410</v>
      </c>
      <c r="F62" t="s">
        <v>413</v>
      </c>
      <c r="G62">
        <v>111.04722792607802</v>
      </c>
      <c r="H62" t="s">
        <v>419</v>
      </c>
      <c r="J62">
        <v>111</v>
      </c>
      <c r="K62">
        <v>89</v>
      </c>
      <c r="L62">
        <v>104</v>
      </c>
      <c r="M62">
        <v>101</v>
      </c>
      <c r="N62">
        <v>95</v>
      </c>
    </row>
    <row r="63" spans="1:14" x14ac:dyDescent="0.2">
      <c r="A63" t="s">
        <v>61</v>
      </c>
      <c r="B63" t="s">
        <v>486</v>
      </c>
      <c r="C63" t="s">
        <v>397</v>
      </c>
      <c r="D63" t="s">
        <v>402</v>
      </c>
      <c r="E63" t="s">
        <v>410</v>
      </c>
      <c r="F63" t="s">
        <v>414</v>
      </c>
      <c r="G63">
        <v>107.82751540041068</v>
      </c>
      <c r="H63" t="s">
        <v>419</v>
      </c>
      <c r="J63">
        <v>115</v>
      </c>
      <c r="K63">
        <v>103</v>
      </c>
      <c r="L63">
        <v>119</v>
      </c>
      <c r="M63">
        <v>114</v>
      </c>
      <c r="N63">
        <v>112</v>
      </c>
    </row>
    <row r="64" spans="1:14" x14ac:dyDescent="0.2">
      <c r="A64" t="s">
        <v>62</v>
      </c>
      <c r="B64" t="s">
        <v>487</v>
      </c>
      <c r="C64" t="s">
        <v>397</v>
      </c>
      <c r="D64" t="s">
        <v>404</v>
      </c>
      <c r="E64" t="s">
        <v>411</v>
      </c>
      <c r="F64" t="s">
        <v>414</v>
      </c>
      <c r="G64">
        <v>130.85830000000001</v>
      </c>
      <c r="H64" t="s">
        <v>419</v>
      </c>
      <c r="J64">
        <v>116</v>
      </c>
      <c r="K64">
        <v>94</v>
      </c>
      <c r="L64">
        <v>124</v>
      </c>
      <c r="M64">
        <v>113</v>
      </c>
      <c r="N64">
        <v>109</v>
      </c>
    </row>
    <row r="65" spans="1:14" x14ac:dyDescent="0.2">
      <c r="A65" t="s">
        <v>63</v>
      </c>
      <c r="B65" t="s">
        <v>488</v>
      </c>
      <c r="C65" t="s">
        <v>397</v>
      </c>
      <c r="D65" t="s">
        <v>404</v>
      </c>
      <c r="E65" t="s">
        <v>411</v>
      </c>
      <c r="F65" t="s">
        <v>414</v>
      </c>
      <c r="G65">
        <v>114.06981519507187</v>
      </c>
      <c r="H65" t="s">
        <v>419</v>
      </c>
      <c r="J65">
        <v>116</v>
      </c>
      <c r="K65">
        <v>96</v>
      </c>
      <c r="L65">
        <v>107</v>
      </c>
      <c r="M65">
        <v>107</v>
      </c>
      <c r="N65">
        <v>102</v>
      </c>
    </row>
    <row r="66" spans="1:14" x14ac:dyDescent="0.2">
      <c r="A66" t="s">
        <v>64</v>
      </c>
      <c r="B66" t="s">
        <v>489</v>
      </c>
      <c r="C66" t="s">
        <v>397</v>
      </c>
      <c r="D66" t="s">
        <v>402</v>
      </c>
      <c r="E66" t="s">
        <v>410</v>
      </c>
      <c r="F66" t="s">
        <v>414</v>
      </c>
      <c r="G66">
        <v>148.36959999999999</v>
      </c>
      <c r="H66" t="s">
        <v>418</v>
      </c>
      <c r="J66">
        <v>108</v>
      </c>
      <c r="K66">
        <v>92</v>
      </c>
      <c r="L66">
        <v>125</v>
      </c>
      <c r="M66">
        <v>109</v>
      </c>
      <c r="N66">
        <v>109</v>
      </c>
    </row>
    <row r="67" spans="1:14" x14ac:dyDescent="0.2">
      <c r="A67" t="s">
        <v>65</v>
      </c>
      <c r="B67" t="s">
        <v>490</v>
      </c>
      <c r="C67" t="s">
        <v>398</v>
      </c>
      <c r="D67" t="s">
        <v>402</v>
      </c>
      <c r="E67" t="s">
        <v>410</v>
      </c>
      <c r="F67" t="s">
        <v>413</v>
      </c>
      <c r="G67">
        <v>110.52566735112936</v>
      </c>
      <c r="H67" t="s">
        <v>418</v>
      </c>
      <c r="J67">
        <v>87</v>
      </c>
      <c r="K67">
        <v>82</v>
      </c>
      <c r="L67">
        <v>92</v>
      </c>
      <c r="M67">
        <v>85</v>
      </c>
      <c r="N67">
        <v>85</v>
      </c>
    </row>
    <row r="68" spans="1:14" x14ac:dyDescent="0.2">
      <c r="A68" t="s">
        <v>66</v>
      </c>
      <c r="B68" t="s">
        <v>491</v>
      </c>
      <c r="C68" t="s">
        <v>398</v>
      </c>
      <c r="D68" t="s">
        <v>402</v>
      </c>
      <c r="E68" t="s">
        <v>410</v>
      </c>
      <c r="F68" t="s">
        <v>413</v>
      </c>
      <c r="G68">
        <v>126.37987679671458</v>
      </c>
      <c r="H68" t="s">
        <v>418</v>
      </c>
      <c r="J68">
        <v>119</v>
      </c>
      <c r="K68">
        <v>125</v>
      </c>
      <c r="L68">
        <v>107</v>
      </c>
      <c r="M68">
        <v>121</v>
      </c>
      <c r="N68">
        <v>119</v>
      </c>
    </row>
    <row r="69" spans="1:14" x14ac:dyDescent="0.2">
      <c r="A69" t="s">
        <v>67</v>
      </c>
      <c r="B69" t="s">
        <v>492</v>
      </c>
      <c r="C69" t="s">
        <v>398</v>
      </c>
      <c r="D69" t="s">
        <v>404</v>
      </c>
      <c r="E69" t="s">
        <v>410</v>
      </c>
      <c r="F69" t="s">
        <v>413</v>
      </c>
      <c r="G69">
        <v>103.52977412731006</v>
      </c>
      <c r="H69" t="s">
        <v>418</v>
      </c>
      <c r="J69">
        <v>127</v>
      </c>
      <c r="K69">
        <v>119</v>
      </c>
      <c r="L69">
        <v>126</v>
      </c>
      <c r="M69">
        <v>130</v>
      </c>
      <c r="N69">
        <v>124</v>
      </c>
    </row>
    <row r="70" spans="1:14" x14ac:dyDescent="0.2">
      <c r="A70" t="s">
        <v>68</v>
      </c>
      <c r="B70" t="s">
        <v>493</v>
      </c>
      <c r="C70" t="s">
        <v>398</v>
      </c>
      <c r="D70" t="s">
        <v>404</v>
      </c>
      <c r="E70" t="s">
        <v>410</v>
      </c>
      <c r="F70" t="s">
        <v>415</v>
      </c>
      <c r="G70">
        <v>197.65708418891171</v>
      </c>
      <c r="H70" t="s">
        <v>418</v>
      </c>
      <c r="J70">
        <v>119</v>
      </c>
      <c r="K70">
        <v>138</v>
      </c>
      <c r="L70">
        <v>133</v>
      </c>
      <c r="M70">
        <v>137</v>
      </c>
      <c r="N70">
        <v>139</v>
      </c>
    </row>
    <row r="71" spans="1:14" x14ac:dyDescent="0.2">
      <c r="A71" t="s">
        <v>69</v>
      </c>
      <c r="B71" t="s">
        <v>494</v>
      </c>
      <c r="C71" t="s">
        <v>398</v>
      </c>
      <c r="D71" t="s">
        <v>402</v>
      </c>
      <c r="E71" t="s">
        <v>410</v>
      </c>
      <c r="F71" t="s">
        <v>413</v>
      </c>
      <c r="G71">
        <v>136.83983572895278</v>
      </c>
      <c r="H71" t="s">
        <v>419</v>
      </c>
      <c r="J71">
        <v>113</v>
      </c>
      <c r="K71">
        <v>106</v>
      </c>
      <c r="L71">
        <v>91</v>
      </c>
      <c r="M71">
        <v>104</v>
      </c>
      <c r="N71">
        <v>99</v>
      </c>
    </row>
    <row r="72" spans="1:14" x14ac:dyDescent="0.2">
      <c r="A72" t="s">
        <v>70</v>
      </c>
      <c r="B72" t="s">
        <v>495</v>
      </c>
      <c r="C72" t="s">
        <v>398</v>
      </c>
      <c r="D72" t="s">
        <v>402</v>
      </c>
      <c r="E72" t="s">
        <v>410</v>
      </c>
      <c r="F72" t="s">
        <v>413</v>
      </c>
      <c r="G72">
        <v>118.85420944558521</v>
      </c>
      <c r="H72" t="s">
        <v>419</v>
      </c>
      <c r="J72">
        <v>106</v>
      </c>
      <c r="K72">
        <v>99</v>
      </c>
      <c r="L72">
        <v>99</v>
      </c>
      <c r="M72">
        <v>101</v>
      </c>
      <c r="N72">
        <v>99</v>
      </c>
    </row>
    <row r="73" spans="1:14" x14ac:dyDescent="0.2">
      <c r="A73" t="s">
        <v>71</v>
      </c>
      <c r="B73" t="s">
        <v>496</v>
      </c>
      <c r="C73" t="s">
        <v>398</v>
      </c>
      <c r="D73" t="s">
        <v>402</v>
      </c>
      <c r="E73" t="s">
        <v>410</v>
      </c>
      <c r="F73" t="s">
        <v>415</v>
      </c>
      <c r="G73">
        <v>103.80698151950719</v>
      </c>
      <c r="H73" t="s">
        <v>419</v>
      </c>
      <c r="J73">
        <v>105</v>
      </c>
      <c r="K73">
        <v>105</v>
      </c>
      <c r="L73">
        <v>120</v>
      </c>
      <c r="M73">
        <v>112</v>
      </c>
      <c r="N73">
        <v>114</v>
      </c>
    </row>
    <row r="74" spans="1:14" x14ac:dyDescent="0.2">
      <c r="A74" t="s">
        <v>72</v>
      </c>
      <c r="B74" t="s">
        <v>497</v>
      </c>
      <c r="C74" t="s">
        <v>398</v>
      </c>
      <c r="D74" t="s">
        <v>402</v>
      </c>
      <c r="E74" t="s">
        <v>410</v>
      </c>
      <c r="F74" t="s">
        <v>413</v>
      </c>
      <c r="G74">
        <v>100.36139630390144</v>
      </c>
      <c r="H74" t="s">
        <v>418</v>
      </c>
      <c r="J74">
        <v>80</v>
      </c>
      <c r="K74">
        <v>84</v>
      </c>
      <c r="L74">
        <v>82</v>
      </c>
      <c r="M74">
        <v>79</v>
      </c>
      <c r="N74">
        <v>81</v>
      </c>
    </row>
    <row r="75" spans="1:14" x14ac:dyDescent="0.2">
      <c r="A75" t="s">
        <v>73</v>
      </c>
      <c r="B75" t="s">
        <v>498</v>
      </c>
      <c r="C75" t="s">
        <v>398</v>
      </c>
      <c r="D75" t="s">
        <v>402</v>
      </c>
      <c r="E75" t="s">
        <v>410</v>
      </c>
      <c r="F75" t="s">
        <v>413</v>
      </c>
      <c r="G75">
        <v>136.03285420944559</v>
      </c>
      <c r="H75" t="s">
        <v>419</v>
      </c>
      <c r="J75">
        <v>67</v>
      </c>
      <c r="K75">
        <v>63</v>
      </c>
      <c r="L75">
        <v>65</v>
      </c>
      <c r="M75">
        <v>62</v>
      </c>
      <c r="N75">
        <v>60</v>
      </c>
    </row>
    <row r="76" spans="1:14" x14ac:dyDescent="0.2">
      <c r="A76" t="s">
        <v>74</v>
      </c>
      <c r="B76" t="s">
        <v>499</v>
      </c>
      <c r="C76" t="s">
        <v>398</v>
      </c>
      <c r="D76" t="s">
        <v>402</v>
      </c>
      <c r="E76" t="s">
        <v>410</v>
      </c>
      <c r="F76" t="s">
        <v>415</v>
      </c>
      <c r="G76">
        <v>99.032854209445588</v>
      </c>
      <c r="H76" t="s">
        <v>419</v>
      </c>
      <c r="J76">
        <v>118</v>
      </c>
      <c r="K76">
        <v>92</v>
      </c>
      <c r="L76">
        <v>98</v>
      </c>
      <c r="M76">
        <v>102</v>
      </c>
      <c r="N76">
        <v>94</v>
      </c>
    </row>
    <row r="77" spans="1:14" x14ac:dyDescent="0.2">
      <c r="A77" t="s">
        <v>75</v>
      </c>
      <c r="B77" t="s">
        <v>500</v>
      </c>
      <c r="C77" t="s">
        <v>398</v>
      </c>
      <c r="D77" t="s">
        <v>404</v>
      </c>
      <c r="E77" t="s">
        <v>410</v>
      </c>
      <c r="F77" t="s">
        <v>413</v>
      </c>
      <c r="G77">
        <v>183</v>
      </c>
      <c r="H77" t="s">
        <v>418</v>
      </c>
      <c r="J77">
        <v>100</v>
      </c>
      <c r="K77">
        <v>109</v>
      </c>
      <c r="L77">
        <v>116</v>
      </c>
      <c r="M77">
        <v>110</v>
      </c>
      <c r="N77">
        <v>114</v>
      </c>
    </row>
    <row r="78" spans="1:14" x14ac:dyDescent="0.2">
      <c r="A78" t="s">
        <v>76</v>
      </c>
      <c r="B78" t="s">
        <v>501</v>
      </c>
      <c r="C78" t="s">
        <v>398</v>
      </c>
      <c r="D78" t="s">
        <v>402</v>
      </c>
      <c r="E78" t="s">
        <v>410</v>
      </c>
      <c r="F78" t="s">
        <v>413</v>
      </c>
      <c r="G78">
        <v>171</v>
      </c>
      <c r="H78" t="s">
        <v>419</v>
      </c>
      <c r="J78">
        <v>112</v>
      </c>
      <c r="K78">
        <v>114</v>
      </c>
      <c r="L78">
        <v>115</v>
      </c>
      <c r="M78">
        <v>116</v>
      </c>
      <c r="N78">
        <v>116</v>
      </c>
    </row>
    <row r="79" spans="1:14" x14ac:dyDescent="0.2">
      <c r="A79" t="s">
        <v>77</v>
      </c>
      <c r="B79" t="s">
        <v>502</v>
      </c>
      <c r="C79" t="s">
        <v>398</v>
      </c>
      <c r="D79" t="s">
        <v>402</v>
      </c>
      <c r="E79" t="s">
        <v>410</v>
      </c>
      <c r="F79" t="s">
        <v>415</v>
      </c>
      <c r="G79">
        <v>212</v>
      </c>
      <c r="H79" t="s">
        <v>418</v>
      </c>
      <c r="J79">
        <v>104</v>
      </c>
      <c r="K79">
        <v>102</v>
      </c>
      <c r="L79">
        <v>98</v>
      </c>
      <c r="M79">
        <v>101</v>
      </c>
      <c r="N79">
        <v>100</v>
      </c>
    </row>
    <row r="80" spans="1:14" x14ac:dyDescent="0.2">
      <c r="A80" t="s">
        <v>78</v>
      </c>
      <c r="B80" t="s">
        <v>503</v>
      </c>
      <c r="C80" t="s">
        <v>398</v>
      </c>
      <c r="D80" t="s">
        <v>402</v>
      </c>
      <c r="E80" t="s">
        <v>410</v>
      </c>
      <c r="F80" t="s">
        <v>413</v>
      </c>
      <c r="G80">
        <v>193.6899383983573</v>
      </c>
      <c r="H80" t="s">
        <v>419</v>
      </c>
      <c r="J80">
        <v>129</v>
      </c>
      <c r="K80">
        <v>140</v>
      </c>
      <c r="L80">
        <v>134</v>
      </c>
      <c r="M80">
        <v>143</v>
      </c>
      <c r="N80">
        <v>141</v>
      </c>
    </row>
    <row r="81" spans="1:14" x14ac:dyDescent="0.2">
      <c r="A81" t="s">
        <v>79</v>
      </c>
      <c r="B81" t="s">
        <v>504</v>
      </c>
      <c r="C81" t="s">
        <v>398</v>
      </c>
      <c r="D81" t="s">
        <v>402</v>
      </c>
      <c r="E81" t="s">
        <v>410</v>
      </c>
      <c r="F81" t="s">
        <v>414</v>
      </c>
      <c r="G81">
        <v>134.37987679671457</v>
      </c>
      <c r="H81" t="s">
        <v>419</v>
      </c>
      <c r="J81">
        <v>99</v>
      </c>
      <c r="K81">
        <v>99</v>
      </c>
      <c r="L81">
        <v>107</v>
      </c>
      <c r="M81">
        <v>102</v>
      </c>
      <c r="N81">
        <v>104</v>
      </c>
    </row>
    <row r="82" spans="1:14" x14ac:dyDescent="0.2">
      <c r="A82" t="s">
        <v>80</v>
      </c>
      <c r="B82" t="s">
        <v>505</v>
      </c>
      <c r="C82" t="s">
        <v>398</v>
      </c>
      <c r="D82" t="s">
        <v>402</v>
      </c>
      <c r="E82" t="s">
        <v>410</v>
      </c>
      <c r="F82" t="s">
        <v>414</v>
      </c>
      <c r="G82">
        <v>88.952772073921977</v>
      </c>
      <c r="H82" t="s">
        <v>419</v>
      </c>
      <c r="J82">
        <v>106</v>
      </c>
      <c r="K82">
        <v>98</v>
      </c>
      <c r="L82">
        <v>99</v>
      </c>
      <c r="M82">
        <v>101</v>
      </c>
      <c r="N82">
        <v>98</v>
      </c>
    </row>
    <row r="83" spans="1:14" x14ac:dyDescent="0.2">
      <c r="A83" t="s">
        <v>81</v>
      </c>
      <c r="B83" t="s">
        <v>506</v>
      </c>
      <c r="C83" t="s">
        <v>398</v>
      </c>
      <c r="D83" t="s">
        <v>402</v>
      </c>
      <c r="E83" t="s">
        <v>410</v>
      </c>
      <c r="F83" t="s">
        <v>413</v>
      </c>
      <c r="G83">
        <v>121.21560574948666</v>
      </c>
      <c r="H83" t="s">
        <v>418</v>
      </c>
      <c r="J83">
        <v>116</v>
      </c>
      <c r="K83">
        <v>118</v>
      </c>
      <c r="L83">
        <v>128</v>
      </c>
      <c r="M83">
        <v>125</v>
      </c>
      <c r="N83">
        <v>125</v>
      </c>
    </row>
    <row r="84" spans="1:14" x14ac:dyDescent="0.2">
      <c r="A84" t="s">
        <v>82</v>
      </c>
      <c r="B84" t="s">
        <v>507</v>
      </c>
      <c r="C84" t="s">
        <v>398</v>
      </c>
      <c r="D84" t="s">
        <v>404</v>
      </c>
      <c r="E84" t="s">
        <v>410</v>
      </c>
      <c r="F84" t="s">
        <v>413</v>
      </c>
      <c r="G84">
        <v>209.05133470225871</v>
      </c>
      <c r="H84" t="s">
        <v>419</v>
      </c>
      <c r="J84">
        <v>114</v>
      </c>
      <c r="K84">
        <v>112</v>
      </c>
      <c r="L84">
        <v>106</v>
      </c>
      <c r="M84">
        <v>113</v>
      </c>
      <c r="N84">
        <v>110</v>
      </c>
    </row>
    <row r="85" spans="1:14" x14ac:dyDescent="0.2">
      <c r="A85" t="s">
        <v>83</v>
      </c>
      <c r="B85" t="s">
        <v>508</v>
      </c>
      <c r="C85" t="s">
        <v>398</v>
      </c>
      <c r="D85" t="s">
        <v>402</v>
      </c>
      <c r="E85" t="s">
        <v>410</v>
      </c>
      <c r="F85" t="s">
        <v>414</v>
      </c>
      <c r="G85">
        <v>108.54004106776181</v>
      </c>
      <c r="H85" t="s">
        <v>419</v>
      </c>
      <c r="J85">
        <v>110</v>
      </c>
      <c r="K85">
        <v>145</v>
      </c>
      <c r="L85">
        <v>115</v>
      </c>
      <c r="M85">
        <v>130</v>
      </c>
      <c r="N85">
        <v>134</v>
      </c>
    </row>
    <row r="86" spans="1:14" x14ac:dyDescent="0.2">
      <c r="A86" t="s">
        <v>84</v>
      </c>
      <c r="B86" t="s">
        <v>509</v>
      </c>
      <c r="C86" t="s">
        <v>398</v>
      </c>
      <c r="D86" t="s">
        <v>402</v>
      </c>
      <c r="E86" t="s">
        <v>410</v>
      </c>
      <c r="F86" t="s">
        <v>413</v>
      </c>
      <c r="G86">
        <v>172.47843942505133</v>
      </c>
      <c r="H86" t="s">
        <v>419</v>
      </c>
      <c r="J86">
        <v>149</v>
      </c>
      <c r="K86">
        <v>147</v>
      </c>
      <c r="L86">
        <v>154</v>
      </c>
      <c r="M86">
        <v>162</v>
      </c>
      <c r="N86">
        <v>156</v>
      </c>
    </row>
    <row r="87" spans="1:14" x14ac:dyDescent="0.2">
      <c r="A87" t="s">
        <v>85</v>
      </c>
      <c r="B87" t="s">
        <v>510</v>
      </c>
      <c r="C87" t="s">
        <v>398</v>
      </c>
      <c r="D87" t="s">
        <v>402</v>
      </c>
      <c r="E87" t="s">
        <v>410</v>
      </c>
      <c r="F87" t="s">
        <v>415</v>
      </c>
      <c r="G87">
        <v>142.47843942505133</v>
      </c>
      <c r="H87" t="s">
        <v>419</v>
      </c>
      <c r="J87">
        <v>107</v>
      </c>
      <c r="K87">
        <v>142</v>
      </c>
      <c r="L87">
        <v>116</v>
      </c>
      <c r="M87">
        <v>128</v>
      </c>
      <c r="N87">
        <v>133</v>
      </c>
    </row>
    <row r="88" spans="1:14" x14ac:dyDescent="0.2">
      <c r="A88" t="s">
        <v>86</v>
      </c>
      <c r="B88" t="s">
        <v>511</v>
      </c>
      <c r="C88" t="s">
        <v>398</v>
      </c>
      <c r="D88" t="s">
        <v>402</v>
      </c>
      <c r="E88" t="s">
        <v>410</v>
      </c>
      <c r="F88" t="s">
        <v>413</v>
      </c>
      <c r="G88">
        <v>143.55852156057495</v>
      </c>
      <c r="H88" t="s">
        <v>419</v>
      </c>
      <c r="J88">
        <v>103</v>
      </c>
      <c r="K88">
        <v>103</v>
      </c>
      <c r="L88">
        <v>107</v>
      </c>
      <c r="M88">
        <v>105</v>
      </c>
      <c r="N88">
        <v>106</v>
      </c>
    </row>
    <row r="89" spans="1:14" x14ac:dyDescent="0.2">
      <c r="A89" t="s">
        <v>87</v>
      </c>
      <c r="B89" t="s">
        <v>512</v>
      </c>
      <c r="C89" t="s">
        <v>398</v>
      </c>
      <c r="D89" t="s">
        <v>402</v>
      </c>
      <c r="E89" t="s">
        <v>410</v>
      </c>
      <c r="F89" t="s">
        <v>415</v>
      </c>
      <c r="G89">
        <v>116.55852156057495</v>
      </c>
      <c r="H89" t="s">
        <v>419</v>
      </c>
      <c r="J89">
        <v>90</v>
      </c>
      <c r="K89">
        <v>107</v>
      </c>
      <c r="L89">
        <v>107</v>
      </c>
      <c r="M89">
        <v>102</v>
      </c>
      <c r="N89">
        <v>108</v>
      </c>
    </row>
    <row r="90" spans="1:14" x14ac:dyDescent="0.2">
      <c r="A90" t="s">
        <v>88</v>
      </c>
      <c r="B90" t="s">
        <v>513</v>
      </c>
      <c r="C90" t="s">
        <v>398</v>
      </c>
      <c r="D90" t="s">
        <v>402</v>
      </c>
      <c r="E90" t="s">
        <v>410</v>
      </c>
      <c r="F90" t="s">
        <v>413</v>
      </c>
      <c r="G90">
        <v>173.06570841889118</v>
      </c>
      <c r="H90" t="s">
        <v>419</v>
      </c>
      <c r="J90">
        <v>99</v>
      </c>
      <c r="K90">
        <v>127</v>
      </c>
      <c r="L90">
        <v>109</v>
      </c>
      <c r="M90">
        <v>114</v>
      </c>
      <c r="N90">
        <v>120</v>
      </c>
    </row>
    <row r="91" spans="1:14" x14ac:dyDescent="0.2">
      <c r="A91" t="s">
        <v>89</v>
      </c>
      <c r="B91" t="s">
        <v>514</v>
      </c>
      <c r="C91" t="s">
        <v>398</v>
      </c>
      <c r="D91" t="s">
        <v>402</v>
      </c>
      <c r="E91" t="s">
        <v>410</v>
      </c>
      <c r="F91" t="s">
        <v>414</v>
      </c>
      <c r="G91">
        <v>128.62422997946612</v>
      </c>
      <c r="H91" t="s">
        <v>419</v>
      </c>
      <c r="J91">
        <v>103</v>
      </c>
      <c r="K91">
        <v>111</v>
      </c>
      <c r="L91">
        <v>117</v>
      </c>
      <c r="M91">
        <v>112</v>
      </c>
      <c r="N91">
        <v>116</v>
      </c>
    </row>
    <row r="92" spans="1:14" x14ac:dyDescent="0.2">
      <c r="A92" t="s">
        <v>90</v>
      </c>
      <c r="B92" t="s">
        <v>515</v>
      </c>
      <c r="C92" t="s">
        <v>398</v>
      </c>
      <c r="D92" t="s">
        <v>402</v>
      </c>
      <c r="E92" t="s">
        <v>410</v>
      </c>
      <c r="F92" t="s">
        <v>413</v>
      </c>
      <c r="G92">
        <v>150.5482546201232</v>
      </c>
      <c r="H92" t="s">
        <v>418</v>
      </c>
      <c r="J92">
        <v>139</v>
      </c>
      <c r="K92">
        <v>105</v>
      </c>
      <c r="L92">
        <v>127</v>
      </c>
      <c r="M92">
        <v>130</v>
      </c>
      <c r="N92">
        <v>118</v>
      </c>
    </row>
    <row r="93" spans="1:14" x14ac:dyDescent="0.2">
      <c r="A93" t="s">
        <v>91</v>
      </c>
      <c r="B93" t="s">
        <v>516</v>
      </c>
      <c r="C93" t="s">
        <v>398</v>
      </c>
      <c r="D93" t="s">
        <v>402</v>
      </c>
      <c r="E93" t="s">
        <v>410</v>
      </c>
      <c r="F93" t="s">
        <v>415</v>
      </c>
      <c r="G93">
        <v>120.42710472279261</v>
      </c>
      <c r="H93" t="s">
        <v>419</v>
      </c>
      <c r="J93">
        <v>105</v>
      </c>
      <c r="K93">
        <v>103</v>
      </c>
      <c r="L93">
        <v>99</v>
      </c>
      <c r="M93">
        <v>102</v>
      </c>
      <c r="N93">
        <v>101</v>
      </c>
    </row>
    <row r="94" spans="1:14" x14ac:dyDescent="0.2">
      <c r="A94" t="s">
        <v>92</v>
      </c>
      <c r="B94" t="s">
        <v>517</v>
      </c>
      <c r="C94" t="s">
        <v>398</v>
      </c>
      <c r="D94" t="s">
        <v>402</v>
      </c>
      <c r="E94" t="s">
        <v>410</v>
      </c>
      <c r="F94" t="s">
        <v>413</v>
      </c>
      <c r="G94">
        <v>161.52566735112936</v>
      </c>
      <c r="H94" t="s">
        <v>419</v>
      </c>
      <c r="J94">
        <v>110</v>
      </c>
      <c r="K94">
        <v>103</v>
      </c>
      <c r="L94">
        <v>83</v>
      </c>
      <c r="M94">
        <v>99</v>
      </c>
      <c r="N94">
        <v>92</v>
      </c>
    </row>
    <row r="95" spans="1:14" x14ac:dyDescent="0.2">
      <c r="A95" t="s">
        <v>93</v>
      </c>
      <c r="B95" t="s">
        <v>518</v>
      </c>
      <c r="C95" t="s">
        <v>398</v>
      </c>
      <c r="D95" t="s">
        <v>402</v>
      </c>
      <c r="E95" t="s">
        <v>410</v>
      </c>
      <c r="F95" t="s">
        <v>415</v>
      </c>
      <c r="G95">
        <v>128.52566735112936</v>
      </c>
      <c r="H95" t="s">
        <v>419</v>
      </c>
      <c r="J95">
        <v>111</v>
      </c>
      <c r="K95">
        <v>91</v>
      </c>
      <c r="L95">
        <v>88</v>
      </c>
      <c r="M95">
        <v>96</v>
      </c>
      <c r="N95">
        <v>89</v>
      </c>
    </row>
    <row r="96" spans="1:14" x14ac:dyDescent="0.2">
      <c r="A96" t="s">
        <v>94</v>
      </c>
      <c r="B96" t="s">
        <v>519</v>
      </c>
      <c r="C96" t="s">
        <v>398</v>
      </c>
      <c r="D96" t="s">
        <v>402</v>
      </c>
      <c r="E96" t="s">
        <v>410</v>
      </c>
      <c r="F96" t="s">
        <v>413</v>
      </c>
      <c r="G96">
        <v>177.78850102669404</v>
      </c>
      <c r="H96" t="s">
        <v>419</v>
      </c>
      <c r="J96">
        <v>98</v>
      </c>
      <c r="K96">
        <v>67</v>
      </c>
      <c r="L96">
        <v>72</v>
      </c>
      <c r="M96">
        <v>76</v>
      </c>
      <c r="N96">
        <v>66</v>
      </c>
    </row>
    <row r="97" spans="1:14" x14ac:dyDescent="0.2">
      <c r="A97" t="s">
        <v>95</v>
      </c>
      <c r="B97" t="s">
        <v>520</v>
      </c>
      <c r="C97" t="s">
        <v>398</v>
      </c>
      <c r="D97" t="s">
        <v>402</v>
      </c>
      <c r="E97" t="s">
        <v>410</v>
      </c>
      <c r="F97" t="s">
        <v>415</v>
      </c>
      <c r="G97">
        <v>145.78850102669404</v>
      </c>
      <c r="H97" t="s">
        <v>419</v>
      </c>
      <c r="J97">
        <v>103</v>
      </c>
      <c r="K97">
        <v>101</v>
      </c>
      <c r="L97">
        <v>100</v>
      </c>
      <c r="M97">
        <v>101</v>
      </c>
      <c r="N97">
        <v>101</v>
      </c>
    </row>
    <row r="98" spans="1:14" x14ac:dyDescent="0.2">
      <c r="A98" t="s">
        <v>96</v>
      </c>
      <c r="B98" t="s">
        <v>521</v>
      </c>
      <c r="C98" t="s">
        <v>398</v>
      </c>
      <c r="D98" t="s">
        <v>405</v>
      </c>
      <c r="E98" t="s">
        <v>410</v>
      </c>
      <c r="F98" t="s">
        <v>413</v>
      </c>
      <c r="G98">
        <v>205.43737166324436</v>
      </c>
      <c r="H98" t="s">
        <v>419</v>
      </c>
      <c r="J98">
        <v>132</v>
      </c>
      <c r="K98">
        <v>100</v>
      </c>
      <c r="L98">
        <v>98</v>
      </c>
      <c r="M98">
        <v>111</v>
      </c>
      <c r="N98">
        <v>99</v>
      </c>
    </row>
    <row r="99" spans="1:14" x14ac:dyDescent="0.2">
      <c r="A99" t="s">
        <v>97</v>
      </c>
      <c r="B99" t="s">
        <v>522</v>
      </c>
      <c r="C99" t="s">
        <v>398</v>
      </c>
      <c r="D99" t="s">
        <v>402</v>
      </c>
      <c r="E99" t="s">
        <v>410</v>
      </c>
      <c r="F99" t="s">
        <v>413</v>
      </c>
      <c r="G99">
        <v>105.15400410677618</v>
      </c>
      <c r="H99" t="s">
        <v>419</v>
      </c>
      <c r="J99">
        <v>85</v>
      </c>
      <c r="K99">
        <v>108</v>
      </c>
      <c r="L99">
        <v>100</v>
      </c>
      <c r="M99">
        <v>98</v>
      </c>
      <c r="N99">
        <v>105</v>
      </c>
    </row>
    <row r="100" spans="1:14" x14ac:dyDescent="0.2">
      <c r="A100" t="s">
        <v>98</v>
      </c>
      <c r="B100" t="s">
        <v>523</v>
      </c>
      <c r="C100" t="s">
        <v>398</v>
      </c>
      <c r="D100" t="s">
        <v>402</v>
      </c>
      <c r="E100" t="s">
        <v>410</v>
      </c>
      <c r="F100" t="s">
        <v>413</v>
      </c>
      <c r="G100">
        <v>204.39835728952772</v>
      </c>
      <c r="H100" t="s">
        <v>419</v>
      </c>
      <c r="J100">
        <v>119</v>
      </c>
      <c r="K100">
        <v>111</v>
      </c>
      <c r="L100">
        <v>119</v>
      </c>
      <c r="M100">
        <v>119</v>
      </c>
      <c r="N100">
        <v>117</v>
      </c>
    </row>
    <row r="101" spans="1:14" x14ac:dyDescent="0.2">
      <c r="A101" t="s">
        <v>99</v>
      </c>
      <c r="B101" t="s">
        <v>524</v>
      </c>
      <c r="C101" t="s">
        <v>398</v>
      </c>
      <c r="D101" t="s">
        <v>402</v>
      </c>
      <c r="E101" t="s">
        <v>410</v>
      </c>
      <c r="F101" t="s">
        <v>413</v>
      </c>
      <c r="G101">
        <v>144.16427104722791</v>
      </c>
      <c r="H101" t="s">
        <v>418</v>
      </c>
      <c r="J101">
        <v>88</v>
      </c>
      <c r="K101">
        <v>95</v>
      </c>
      <c r="L101">
        <v>96</v>
      </c>
      <c r="M101">
        <v>92</v>
      </c>
      <c r="N101">
        <v>95</v>
      </c>
    </row>
    <row r="102" spans="1:14" x14ac:dyDescent="0.2">
      <c r="A102" t="s">
        <v>100</v>
      </c>
      <c r="B102" t="s">
        <v>525</v>
      </c>
      <c r="C102" t="s">
        <v>398</v>
      </c>
      <c r="D102" t="s">
        <v>402</v>
      </c>
      <c r="E102" t="s">
        <v>410</v>
      </c>
      <c r="F102" t="s">
        <v>415</v>
      </c>
      <c r="G102">
        <v>99.164271047227928</v>
      </c>
      <c r="H102" t="s">
        <v>419</v>
      </c>
      <c r="J102">
        <v>100</v>
      </c>
      <c r="K102">
        <v>97</v>
      </c>
      <c r="L102">
        <v>96</v>
      </c>
      <c r="M102">
        <v>97</v>
      </c>
      <c r="N102">
        <v>96</v>
      </c>
    </row>
    <row r="103" spans="1:14" x14ac:dyDescent="0.2">
      <c r="A103" t="s">
        <v>101</v>
      </c>
      <c r="B103" t="s">
        <v>526</v>
      </c>
      <c r="C103" t="s">
        <v>398</v>
      </c>
      <c r="D103" t="s">
        <v>402</v>
      </c>
      <c r="E103" t="s">
        <v>410</v>
      </c>
      <c r="F103" t="s">
        <v>414</v>
      </c>
      <c r="G103">
        <v>152.67556468172484</v>
      </c>
      <c r="H103" t="s">
        <v>418</v>
      </c>
      <c r="J103">
        <v>128</v>
      </c>
      <c r="K103">
        <v>131</v>
      </c>
      <c r="L103">
        <v>108</v>
      </c>
      <c r="M103">
        <v>128</v>
      </c>
      <c r="N103">
        <v>123</v>
      </c>
    </row>
    <row r="104" spans="1:14" x14ac:dyDescent="0.2">
      <c r="A104" t="s">
        <v>102</v>
      </c>
      <c r="B104" t="s">
        <v>527</v>
      </c>
      <c r="C104" t="s">
        <v>398</v>
      </c>
      <c r="D104" t="s">
        <v>402</v>
      </c>
      <c r="E104" t="s">
        <v>410</v>
      </c>
      <c r="F104" t="s">
        <v>414</v>
      </c>
      <c r="G104">
        <v>178.41273100616016</v>
      </c>
      <c r="H104" t="s">
        <v>418</v>
      </c>
      <c r="J104">
        <v>99</v>
      </c>
      <c r="K104">
        <v>112</v>
      </c>
      <c r="L104">
        <v>80</v>
      </c>
      <c r="M104">
        <v>97</v>
      </c>
      <c r="N104">
        <v>96</v>
      </c>
    </row>
    <row r="105" spans="1:14" x14ac:dyDescent="0.2">
      <c r="A105" t="s">
        <v>103</v>
      </c>
      <c r="B105" t="s">
        <v>528</v>
      </c>
      <c r="C105" t="s">
        <v>398</v>
      </c>
      <c r="D105" t="s">
        <v>402</v>
      </c>
      <c r="E105" t="s">
        <v>410</v>
      </c>
      <c r="F105" t="s">
        <v>414</v>
      </c>
      <c r="G105">
        <v>128.47843942505133</v>
      </c>
      <c r="H105" t="s">
        <v>418</v>
      </c>
      <c r="J105">
        <v>113</v>
      </c>
      <c r="K105">
        <v>132</v>
      </c>
      <c r="L105">
        <v>123</v>
      </c>
      <c r="M105">
        <v>129</v>
      </c>
      <c r="N105">
        <v>131</v>
      </c>
    </row>
    <row r="106" spans="1:14" x14ac:dyDescent="0.2">
      <c r="A106" t="s">
        <v>104</v>
      </c>
      <c r="B106" t="s">
        <v>529</v>
      </c>
      <c r="C106" t="s">
        <v>398</v>
      </c>
      <c r="D106" t="s">
        <v>402</v>
      </c>
      <c r="E106" t="s">
        <v>410</v>
      </c>
      <c r="F106" t="s">
        <v>414</v>
      </c>
      <c r="G106">
        <v>106.47843942505133</v>
      </c>
      <c r="H106" t="s">
        <v>418</v>
      </c>
      <c r="J106">
        <v>106</v>
      </c>
      <c r="K106">
        <v>123</v>
      </c>
      <c r="L106">
        <v>123</v>
      </c>
      <c r="M106">
        <v>121</v>
      </c>
      <c r="N106">
        <v>126</v>
      </c>
    </row>
    <row r="107" spans="1:14" x14ac:dyDescent="0.2">
      <c r="A107" t="s">
        <v>105</v>
      </c>
      <c r="B107" t="s">
        <v>530</v>
      </c>
      <c r="C107" t="s">
        <v>398</v>
      </c>
      <c r="D107" t="s">
        <v>402</v>
      </c>
      <c r="E107" t="s">
        <v>410</v>
      </c>
      <c r="F107" t="s">
        <v>414</v>
      </c>
      <c r="G107">
        <v>105.72484599589322</v>
      </c>
      <c r="H107" t="s">
        <v>419</v>
      </c>
      <c r="J107">
        <v>115</v>
      </c>
      <c r="K107">
        <v>104</v>
      </c>
      <c r="L107">
        <v>112</v>
      </c>
      <c r="M107">
        <v>112</v>
      </c>
      <c r="N107">
        <v>109</v>
      </c>
    </row>
    <row r="108" spans="1:14" x14ac:dyDescent="0.2">
      <c r="A108" t="s">
        <v>106</v>
      </c>
      <c r="B108" t="s">
        <v>531</v>
      </c>
      <c r="C108" t="s">
        <v>398</v>
      </c>
      <c r="D108" t="s">
        <v>402</v>
      </c>
      <c r="E108" t="s">
        <v>410</v>
      </c>
      <c r="F108" t="s">
        <v>414</v>
      </c>
      <c r="G108">
        <v>129.28131416837783</v>
      </c>
      <c r="H108" t="s">
        <v>418</v>
      </c>
      <c r="J108">
        <v>116</v>
      </c>
      <c r="K108">
        <v>103</v>
      </c>
      <c r="L108">
        <v>98</v>
      </c>
      <c r="M108">
        <v>106</v>
      </c>
      <c r="N108">
        <v>101</v>
      </c>
    </row>
    <row r="109" spans="1:14" x14ac:dyDescent="0.2">
      <c r="A109" t="s">
        <v>107</v>
      </c>
      <c r="B109" t="s">
        <v>532</v>
      </c>
      <c r="C109" t="s">
        <v>398</v>
      </c>
      <c r="D109" t="s">
        <v>402</v>
      </c>
      <c r="E109" t="s">
        <v>410</v>
      </c>
      <c r="F109" t="s">
        <v>414</v>
      </c>
      <c r="G109">
        <v>102.24845995893224</v>
      </c>
      <c r="H109" t="s">
        <v>419</v>
      </c>
      <c r="J109">
        <v>97</v>
      </c>
      <c r="K109">
        <v>102</v>
      </c>
      <c r="L109">
        <v>96</v>
      </c>
      <c r="M109">
        <v>98</v>
      </c>
      <c r="N109">
        <v>99</v>
      </c>
    </row>
    <row r="110" spans="1:14" x14ac:dyDescent="0.2">
      <c r="A110" t="s">
        <v>108</v>
      </c>
      <c r="B110" t="s">
        <v>533</v>
      </c>
      <c r="C110" t="s">
        <v>398</v>
      </c>
      <c r="D110" t="s">
        <v>402</v>
      </c>
      <c r="E110" t="s">
        <v>410</v>
      </c>
      <c r="F110" t="s">
        <v>413</v>
      </c>
      <c r="G110">
        <v>151.24435318275155</v>
      </c>
      <c r="H110" t="s">
        <v>418</v>
      </c>
      <c r="J110">
        <v>83</v>
      </c>
      <c r="K110">
        <v>84</v>
      </c>
      <c r="L110">
        <v>78</v>
      </c>
      <c r="M110">
        <v>79</v>
      </c>
      <c r="N110">
        <v>79</v>
      </c>
    </row>
    <row r="111" spans="1:14" x14ac:dyDescent="0.2">
      <c r="A111" t="s">
        <v>109</v>
      </c>
      <c r="B111" t="s">
        <v>534</v>
      </c>
      <c r="C111" t="s">
        <v>398</v>
      </c>
      <c r="D111" t="s">
        <v>402</v>
      </c>
      <c r="E111" t="s">
        <v>410</v>
      </c>
      <c r="F111" t="s">
        <v>414</v>
      </c>
      <c r="G111">
        <v>134.50102669404518</v>
      </c>
      <c r="H111" t="s">
        <v>418</v>
      </c>
      <c r="J111">
        <v>123</v>
      </c>
      <c r="K111">
        <v>115</v>
      </c>
      <c r="L111">
        <v>100</v>
      </c>
      <c r="M111">
        <v>115</v>
      </c>
      <c r="N111">
        <v>109</v>
      </c>
    </row>
    <row r="112" spans="1:14" x14ac:dyDescent="0.2">
      <c r="A112" t="s">
        <v>110</v>
      </c>
      <c r="B112" t="s">
        <v>535</v>
      </c>
      <c r="C112" t="s">
        <v>398</v>
      </c>
      <c r="D112" t="s">
        <v>402</v>
      </c>
      <c r="E112" t="s">
        <v>410</v>
      </c>
      <c r="F112" t="s">
        <v>414</v>
      </c>
      <c r="G112">
        <v>110.81108829568788</v>
      </c>
      <c r="H112" t="s">
        <v>418</v>
      </c>
      <c r="J112">
        <v>102</v>
      </c>
      <c r="K112">
        <v>109</v>
      </c>
      <c r="L112">
        <v>103</v>
      </c>
      <c r="M112">
        <v>105</v>
      </c>
      <c r="N112">
        <v>107</v>
      </c>
    </row>
    <row r="113" spans="1:14" x14ac:dyDescent="0.2">
      <c r="A113" t="s">
        <v>111</v>
      </c>
      <c r="B113" t="s">
        <v>536</v>
      </c>
      <c r="C113" t="s">
        <v>398</v>
      </c>
      <c r="D113" t="s">
        <v>402</v>
      </c>
      <c r="E113" t="s">
        <v>410</v>
      </c>
      <c r="F113" t="s">
        <v>413</v>
      </c>
      <c r="G113">
        <v>127.00410677618069</v>
      </c>
      <c r="H113" t="s">
        <v>419</v>
      </c>
      <c r="J113">
        <v>105</v>
      </c>
      <c r="K113">
        <v>127</v>
      </c>
      <c r="L113">
        <v>100</v>
      </c>
      <c r="M113">
        <v>113</v>
      </c>
      <c r="N113">
        <v>116</v>
      </c>
    </row>
    <row r="114" spans="1:14" x14ac:dyDescent="0.2">
      <c r="A114" t="s">
        <v>112</v>
      </c>
      <c r="B114" t="s">
        <v>537</v>
      </c>
      <c r="C114" t="s">
        <v>398</v>
      </c>
      <c r="D114" t="s">
        <v>402</v>
      </c>
      <c r="E114" t="s">
        <v>410</v>
      </c>
      <c r="F114" t="s">
        <v>413</v>
      </c>
      <c r="G114">
        <v>119.54414784394251</v>
      </c>
      <c r="H114" t="s">
        <v>418</v>
      </c>
      <c r="J114">
        <v>92</v>
      </c>
      <c r="K114">
        <v>115</v>
      </c>
      <c r="L114">
        <v>115</v>
      </c>
      <c r="M114">
        <v>109</v>
      </c>
      <c r="N114">
        <v>117</v>
      </c>
    </row>
    <row r="115" spans="1:14" x14ac:dyDescent="0.2">
      <c r="A115" t="s">
        <v>113</v>
      </c>
      <c r="B115" t="s">
        <v>538</v>
      </c>
      <c r="C115" t="s">
        <v>398</v>
      </c>
      <c r="D115" t="s">
        <v>402</v>
      </c>
      <c r="E115" t="s">
        <v>410</v>
      </c>
      <c r="F115" t="s">
        <v>413</v>
      </c>
      <c r="G115">
        <v>121.18069815195072</v>
      </c>
      <c r="H115" t="s">
        <v>418</v>
      </c>
      <c r="J115">
        <v>101</v>
      </c>
      <c r="K115">
        <v>99</v>
      </c>
      <c r="L115">
        <v>107</v>
      </c>
      <c r="M115">
        <v>102</v>
      </c>
      <c r="N115">
        <v>103</v>
      </c>
    </row>
    <row r="116" spans="1:14" x14ac:dyDescent="0.2">
      <c r="A116" t="s">
        <v>114</v>
      </c>
      <c r="B116" t="s">
        <v>539</v>
      </c>
      <c r="C116" t="s">
        <v>398</v>
      </c>
      <c r="D116" t="s">
        <v>402</v>
      </c>
      <c r="E116" t="s">
        <v>410</v>
      </c>
      <c r="F116" t="s">
        <v>413</v>
      </c>
      <c r="G116">
        <v>126.25872689938399</v>
      </c>
      <c r="H116" t="s">
        <v>419</v>
      </c>
      <c r="J116">
        <v>91</v>
      </c>
      <c r="K116">
        <v>93</v>
      </c>
      <c r="L116">
        <v>83</v>
      </c>
      <c r="M116">
        <v>87</v>
      </c>
      <c r="N116">
        <v>86</v>
      </c>
    </row>
    <row r="117" spans="1:14" x14ac:dyDescent="0.2">
      <c r="A117" t="s">
        <v>115</v>
      </c>
      <c r="B117" t="s">
        <v>540</v>
      </c>
      <c r="C117" t="s">
        <v>398</v>
      </c>
      <c r="D117" t="s">
        <v>402</v>
      </c>
      <c r="E117" t="s">
        <v>410</v>
      </c>
      <c r="F117" t="s">
        <v>414</v>
      </c>
      <c r="G117">
        <v>160.75564681724845</v>
      </c>
      <c r="H117" t="s">
        <v>419</v>
      </c>
      <c r="J117">
        <v>132</v>
      </c>
      <c r="K117">
        <v>124</v>
      </c>
      <c r="L117">
        <v>126</v>
      </c>
      <c r="M117">
        <v>134</v>
      </c>
      <c r="N117">
        <v>128</v>
      </c>
    </row>
    <row r="118" spans="1:14" x14ac:dyDescent="0.2">
      <c r="A118" t="s">
        <v>116</v>
      </c>
      <c r="B118" t="s">
        <v>541</v>
      </c>
      <c r="C118" t="s">
        <v>398</v>
      </c>
      <c r="D118" t="s">
        <v>402</v>
      </c>
      <c r="E118" t="s">
        <v>410</v>
      </c>
      <c r="F118" t="s">
        <v>413</v>
      </c>
      <c r="G118">
        <v>121.97535934291581</v>
      </c>
      <c r="H118" t="s">
        <v>418</v>
      </c>
      <c r="J118">
        <v>113</v>
      </c>
      <c r="K118">
        <v>110</v>
      </c>
      <c r="L118">
        <v>99</v>
      </c>
      <c r="M118">
        <v>109</v>
      </c>
      <c r="N118">
        <v>105</v>
      </c>
    </row>
    <row r="119" spans="1:14" x14ac:dyDescent="0.2">
      <c r="A119" t="s">
        <v>117</v>
      </c>
      <c r="B119" t="s">
        <v>542</v>
      </c>
      <c r="C119" t="s">
        <v>398</v>
      </c>
      <c r="D119" t="s">
        <v>402</v>
      </c>
      <c r="E119" t="s">
        <v>410</v>
      </c>
      <c r="F119" t="s">
        <v>413</v>
      </c>
      <c r="G119">
        <v>110.90554414784394</v>
      </c>
      <c r="H119" t="s">
        <v>418</v>
      </c>
      <c r="J119">
        <v>117</v>
      </c>
      <c r="K119">
        <v>89</v>
      </c>
      <c r="L119">
        <v>75</v>
      </c>
      <c r="M119">
        <v>92</v>
      </c>
      <c r="N119">
        <v>80</v>
      </c>
    </row>
    <row r="120" spans="1:14" x14ac:dyDescent="0.2">
      <c r="A120" t="s">
        <v>118</v>
      </c>
      <c r="B120" t="s">
        <v>543</v>
      </c>
      <c r="C120" t="s">
        <v>398</v>
      </c>
      <c r="D120" t="s">
        <v>402</v>
      </c>
      <c r="E120" t="s">
        <v>410</v>
      </c>
      <c r="F120" t="s">
        <v>415</v>
      </c>
      <c r="G120">
        <v>150.90554414784395</v>
      </c>
      <c r="H120" t="s">
        <v>419</v>
      </c>
      <c r="J120">
        <v>128</v>
      </c>
      <c r="K120">
        <v>92</v>
      </c>
      <c r="L120">
        <v>100</v>
      </c>
      <c r="M120">
        <v>107</v>
      </c>
      <c r="N120">
        <v>95</v>
      </c>
    </row>
    <row r="121" spans="1:14" x14ac:dyDescent="0.2">
      <c r="A121" t="s">
        <v>119</v>
      </c>
      <c r="B121" t="s">
        <v>544</v>
      </c>
      <c r="C121" t="s">
        <v>398</v>
      </c>
      <c r="D121" t="s">
        <v>402</v>
      </c>
      <c r="E121" t="s">
        <v>410</v>
      </c>
      <c r="F121" t="s">
        <v>413</v>
      </c>
      <c r="G121">
        <v>114.52566735112936</v>
      </c>
      <c r="H121" t="s">
        <v>419</v>
      </c>
      <c r="J121">
        <v>108</v>
      </c>
      <c r="K121">
        <v>100</v>
      </c>
      <c r="L121">
        <v>99</v>
      </c>
      <c r="M121">
        <v>103</v>
      </c>
      <c r="N121">
        <v>100</v>
      </c>
    </row>
    <row r="122" spans="1:14" x14ac:dyDescent="0.2">
      <c r="A122" t="s">
        <v>120</v>
      </c>
      <c r="B122" t="s">
        <v>545</v>
      </c>
      <c r="C122" t="s">
        <v>398</v>
      </c>
      <c r="D122" t="s">
        <v>402</v>
      </c>
      <c r="E122" t="s">
        <v>410</v>
      </c>
      <c r="F122" t="s">
        <v>415</v>
      </c>
      <c r="G122">
        <v>99.219712525667347</v>
      </c>
      <c r="H122" t="s">
        <v>418</v>
      </c>
      <c r="J122">
        <v>119</v>
      </c>
      <c r="K122">
        <v>96</v>
      </c>
      <c r="L122">
        <v>111</v>
      </c>
      <c r="M122">
        <v>109</v>
      </c>
      <c r="N122">
        <v>104</v>
      </c>
    </row>
    <row r="123" spans="1:14" x14ac:dyDescent="0.2">
      <c r="A123" t="s">
        <v>121</v>
      </c>
      <c r="B123" t="s">
        <v>546</v>
      </c>
      <c r="C123" t="s">
        <v>398</v>
      </c>
      <c r="D123" t="s">
        <v>402</v>
      </c>
      <c r="E123" t="s">
        <v>410</v>
      </c>
      <c r="F123" t="s">
        <v>413</v>
      </c>
      <c r="G123">
        <v>132.4640657084189</v>
      </c>
      <c r="H123" t="s">
        <v>419</v>
      </c>
      <c r="J123">
        <v>59</v>
      </c>
      <c r="K123">
        <v>96</v>
      </c>
      <c r="L123">
        <v>95</v>
      </c>
      <c r="M123">
        <v>80</v>
      </c>
      <c r="N123">
        <v>95</v>
      </c>
    </row>
    <row r="124" spans="1:14" x14ac:dyDescent="0.2">
      <c r="A124" t="s">
        <v>122</v>
      </c>
      <c r="B124" t="s">
        <v>547</v>
      </c>
      <c r="C124" t="s">
        <v>398</v>
      </c>
      <c r="D124" t="s">
        <v>404</v>
      </c>
      <c r="E124" t="s">
        <v>410</v>
      </c>
      <c r="F124" t="s">
        <v>413</v>
      </c>
      <c r="G124">
        <v>189.56673511293636</v>
      </c>
      <c r="H124" t="s">
        <v>418</v>
      </c>
      <c r="J124">
        <v>83</v>
      </c>
      <c r="K124">
        <v>88</v>
      </c>
      <c r="L124">
        <v>88</v>
      </c>
      <c r="M124">
        <v>84</v>
      </c>
      <c r="N124">
        <v>86</v>
      </c>
    </row>
    <row r="125" spans="1:14" x14ac:dyDescent="0.2">
      <c r="A125" t="s">
        <v>123</v>
      </c>
      <c r="B125" t="s">
        <v>548</v>
      </c>
      <c r="C125" t="s">
        <v>398</v>
      </c>
      <c r="D125" t="s">
        <v>402</v>
      </c>
      <c r="E125" t="s">
        <v>410</v>
      </c>
      <c r="F125" t="s">
        <v>413</v>
      </c>
      <c r="G125">
        <v>193.33675564681724</v>
      </c>
      <c r="H125" t="s">
        <v>419</v>
      </c>
      <c r="J125">
        <v>128</v>
      </c>
      <c r="K125">
        <v>96</v>
      </c>
      <c r="L125">
        <v>94</v>
      </c>
      <c r="M125">
        <v>106</v>
      </c>
      <c r="N125">
        <v>94</v>
      </c>
    </row>
    <row r="126" spans="1:14" x14ac:dyDescent="0.2">
      <c r="A126" t="s">
        <v>124</v>
      </c>
      <c r="B126" t="s">
        <v>549</v>
      </c>
      <c r="C126" t="s">
        <v>398</v>
      </c>
      <c r="D126" t="s">
        <v>402</v>
      </c>
      <c r="E126" t="s">
        <v>410</v>
      </c>
      <c r="F126" t="s">
        <v>415</v>
      </c>
      <c r="G126">
        <v>166.36960985626283</v>
      </c>
      <c r="H126" t="s">
        <v>419</v>
      </c>
      <c r="J126">
        <v>128</v>
      </c>
      <c r="K126">
        <v>132</v>
      </c>
      <c r="L126">
        <v>126</v>
      </c>
      <c r="M126">
        <v>136</v>
      </c>
      <c r="N126">
        <v>133</v>
      </c>
    </row>
    <row r="127" spans="1:14" x14ac:dyDescent="0.2">
      <c r="A127" t="s">
        <v>125</v>
      </c>
      <c r="B127" t="s">
        <v>550</v>
      </c>
      <c r="C127" t="s">
        <v>398</v>
      </c>
      <c r="D127" t="s">
        <v>402</v>
      </c>
      <c r="E127" t="s">
        <v>410</v>
      </c>
      <c r="F127" t="s">
        <v>413</v>
      </c>
      <c r="G127">
        <v>214.34702258726898</v>
      </c>
      <c r="H127" t="s">
        <v>418</v>
      </c>
      <c r="J127">
        <v>77</v>
      </c>
      <c r="K127">
        <v>86</v>
      </c>
      <c r="L127">
        <v>94</v>
      </c>
      <c r="M127">
        <v>83</v>
      </c>
      <c r="N127">
        <v>89</v>
      </c>
    </row>
    <row r="128" spans="1:14" x14ac:dyDescent="0.2">
      <c r="A128" t="s">
        <v>126</v>
      </c>
      <c r="B128" t="s">
        <v>551</v>
      </c>
      <c r="C128" t="s">
        <v>398</v>
      </c>
      <c r="D128" t="s">
        <v>403</v>
      </c>
      <c r="E128" t="s">
        <v>410</v>
      </c>
      <c r="F128" t="s">
        <v>413</v>
      </c>
      <c r="G128">
        <v>142.10266940451746</v>
      </c>
      <c r="H128" t="s">
        <v>418</v>
      </c>
      <c r="J128">
        <v>59</v>
      </c>
      <c r="K128">
        <v>80</v>
      </c>
      <c r="L128">
        <v>75</v>
      </c>
      <c r="M128">
        <v>68</v>
      </c>
      <c r="N128">
        <v>75</v>
      </c>
    </row>
    <row r="129" spans="1:14" x14ac:dyDescent="0.2">
      <c r="A129" t="s">
        <v>127</v>
      </c>
      <c r="B129" t="s">
        <v>552</v>
      </c>
      <c r="C129" t="s">
        <v>398</v>
      </c>
      <c r="D129" t="s">
        <v>402</v>
      </c>
      <c r="E129" t="s">
        <v>410</v>
      </c>
      <c r="F129" t="s">
        <v>413</v>
      </c>
      <c r="G129">
        <v>192.32854209445586</v>
      </c>
      <c r="H129" t="s">
        <v>419</v>
      </c>
      <c r="J129">
        <v>110</v>
      </c>
      <c r="K129">
        <v>106</v>
      </c>
      <c r="L129">
        <v>108</v>
      </c>
      <c r="M129">
        <v>110</v>
      </c>
      <c r="N129">
        <v>108</v>
      </c>
    </row>
    <row r="130" spans="1:14" x14ac:dyDescent="0.2">
      <c r="A130" t="s">
        <v>128</v>
      </c>
      <c r="B130" t="s">
        <v>553</v>
      </c>
      <c r="C130" t="s">
        <v>398</v>
      </c>
      <c r="D130" t="s">
        <v>402</v>
      </c>
      <c r="E130" t="s">
        <v>410</v>
      </c>
      <c r="F130" t="s">
        <v>413</v>
      </c>
      <c r="G130">
        <v>170.16837782340863</v>
      </c>
      <c r="H130" t="s">
        <v>418</v>
      </c>
      <c r="J130">
        <v>142</v>
      </c>
      <c r="K130">
        <v>149</v>
      </c>
      <c r="L130">
        <v>154</v>
      </c>
      <c r="M130">
        <v>160</v>
      </c>
      <c r="N130">
        <v>158</v>
      </c>
    </row>
    <row r="131" spans="1:14" x14ac:dyDescent="0.2">
      <c r="A131" t="s">
        <v>129</v>
      </c>
      <c r="B131" t="s">
        <v>554</v>
      </c>
      <c r="C131" t="s">
        <v>398</v>
      </c>
      <c r="D131" t="s">
        <v>402</v>
      </c>
      <c r="E131" t="s">
        <v>410</v>
      </c>
      <c r="F131" t="s">
        <v>415</v>
      </c>
      <c r="G131">
        <v>114.26694045174538</v>
      </c>
      <c r="H131" t="s">
        <v>419</v>
      </c>
      <c r="J131">
        <v>110</v>
      </c>
      <c r="K131">
        <v>113</v>
      </c>
      <c r="L131">
        <v>121</v>
      </c>
      <c r="M131">
        <v>118</v>
      </c>
      <c r="N131">
        <v>119</v>
      </c>
    </row>
    <row r="132" spans="1:14" x14ac:dyDescent="0.2">
      <c r="A132" t="s">
        <v>130</v>
      </c>
      <c r="B132" t="s">
        <v>555</v>
      </c>
      <c r="C132" t="s">
        <v>398</v>
      </c>
      <c r="D132" t="s">
        <v>402</v>
      </c>
      <c r="E132" t="s">
        <v>410</v>
      </c>
      <c r="F132" t="s">
        <v>413</v>
      </c>
      <c r="G132">
        <v>159.28131416837783</v>
      </c>
      <c r="H132" t="s">
        <v>418</v>
      </c>
      <c r="J132">
        <v>96</v>
      </c>
      <c r="K132">
        <v>97</v>
      </c>
      <c r="L132">
        <v>91</v>
      </c>
      <c r="M132">
        <v>94</v>
      </c>
      <c r="N132">
        <v>94</v>
      </c>
    </row>
    <row r="133" spans="1:14" x14ac:dyDescent="0.2">
      <c r="A133" t="s">
        <v>131</v>
      </c>
      <c r="B133" t="s">
        <v>556</v>
      </c>
      <c r="C133" t="s">
        <v>398</v>
      </c>
      <c r="D133" t="s">
        <v>402</v>
      </c>
      <c r="E133" t="s">
        <v>410</v>
      </c>
      <c r="F133" t="s">
        <v>413</v>
      </c>
      <c r="G133">
        <v>119.09650924024641</v>
      </c>
      <c r="H133" t="s">
        <v>418</v>
      </c>
      <c r="J133">
        <v>101</v>
      </c>
      <c r="K133">
        <v>112</v>
      </c>
      <c r="L133">
        <v>95</v>
      </c>
      <c r="M133">
        <v>103</v>
      </c>
      <c r="N133">
        <v>105</v>
      </c>
    </row>
    <row r="134" spans="1:14" x14ac:dyDescent="0.2">
      <c r="A134" t="s">
        <v>132</v>
      </c>
      <c r="B134" t="s">
        <v>557</v>
      </c>
      <c r="C134" t="s">
        <v>398</v>
      </c>
      <c r="D134" t="s">
        <v>402</v>
      </c>
      <c r="E134" t="s">
        <v>410</v>
      </c>
      <c r="F134" t="s">
        <v>415</v>
      </c>
      <c r="G134">
        <v>103.81930184804928</v>
      </c>
      <c r="H134" t="s">
        <v>419</v>
      </c>
      <c r="J134">
        <v>126</v>
      </c>
      <c r="K134">
        <v>137</v>
      </c>
      <c r="L134">
        <v>115</v>
      </c>
      <c r="M134">
        <v>133</v>
      </c>
      <c r="N134">
        <v>129</v>
      </c>
    </row>
    <row r="135" spans="1:14" x14ac:dyDescent="0.2">
      <c r="A135" t="s">
        <v>133</v>
      </c>
      <c r="B135" t="s">
        <v>558</v>
      </c>
      <c r="C135" t="s">
        <v>398</v>
      </c>
      <c r="D135" t="s">
        <v>402</v>
      </c>
      <c r="E135" t="s">
        <v>410</v>
      </c>
      <c r="F135" t="s">
        <v>414</v>
      </c>
      <c r="G135">
        <v>150.22792607802876</v>
      </c>
      <c r="H135" t="s">
        <v>419</v>
      </c>
      <c r="J135">
        <v>114</v>
      </c>
      <c r="K135">
        <v>117</v>
      </c>
      <c r="L135">
        <v>105</v>
      </c>
      <c r="M135">
        <v>114</v>
      </c>
      <c r="N135">
        <v>113</v>
      </c>
    </row>
    <row r="136" spans="1:14" x14ac:dyDescent="0.2">
      <c r="A136" t="s">
        <v>134</v>
      </c>
      <c r="B136" t="s">
        <v>559</v>
      </c>
      <c r="C136" t="s">
        <v>398</v>
      </c>
      <c r="D136" t="s">
        <v>402</v>
      </c>
      <c r="E136" t="s">
        <v>410</v>
      </c>
      <c r="F136" t="s">
        <v>413</v>
      </c>
      <c r="G136">
        <v>189.92402464065708</v>
      </c>
      <c r="H136" t="s">
        <v>418</v>
      </c>
      <c r="J136">
        <v>120</v>
      </c>
      <c r="K136">
        <v>138</v>
      </c>
      <c r="L136">
        <v>106</v>
      </c>
      <c r="M136">
        <v>127</v>
      </c>
      <c r="N136">
        <v>125</v>
      </c>
    </row>
    <row r="137" spans="1:14" x14ac:dyDescent="0.2">
      <c r="A137" t="s">
        <v>135</v>
      </c>
      <c r="B137" t="s">
        <v>560</v>
      </c>
      <c r="C137" t="s">
        <v>398</v>
      </c>
      <c r="D137" t="s">
        <v>402</v>
      </c>
      <c r="E137" t="s">
        <v>410</v>
      </c>
      <c r="F137" t="s">
        <v>415</v>
      </c>
      <c r="G137">
        <v>160.92402464065708</v>
      </c>
      <c r="H137" t="s">
        <v>418</v>
      </c>
      <c r="J137">
        <v>106</v>
      </c>
      <c r="K137">
        <v>116</v>
      </c>
      <c r="L137">
        <v>114</v>
      </c>
      <c r="M137">
        <v>114</v>
      </c>
      <c r="N137">
        <v>117</v>
      </c>
    </row>
    <row r="138" spans="1:14" x14ac:dyDescent="0.2">
      <c r="A138" t="s">
        <v>136</v>
      </c>
      <c r="B138" t="s">
        <v>561</v>
      </c>
      <c r="C138" t="s">
        <v>398</v>
      </c>
      <c r="D138" t="s">
        <v>402</v>
      </c>
      <c r="E138" t="s">
        <v>410</v>
      </c>
      <c r="F138" t="s">
        <v>414</v>
      </c>
      <c r="G138">
        <v>188.09650924024641</v>
      </c>
      <c r="H138" t="s">
        <v>419</v>
      </c>
      <c r="J138">
        <v>95</v>
      </c>
      <c r="K138">
        <v>86</v>
      </c>
      <c r="L138">
        <v>97</v>
      </c>
      <c r="M138">
        <v>91</v>
      </c>
      <c r="N138">
        <v>90</v>
      </c>
    </row>
    <row r="139" spans="1:14" x14ac:dyDescent="0.2">
      <c r="A139" t="s">
        <v>137</v>
      </c>
      <c r="B139" t="s">
        <v>562</v>
      </c>
      <c r="C139" t="s">
        <v>398</v>
      </c>
      <c r="D139" t="s">
        <v>402</v>
      </c>
      <c r="E139" t="s">
        <v>410</v>
      </c>
      <c r="F139" t="s">
        <v>414</v>
      </c>
      <c r="G139">
        <v>161.09650924024641</v>
      </c>
      <c r="H139" t="s">
        <v>419</v>
      </c>
      <c r="J139">
        <v>106</v>
      </c>
      <c r="K139">
        <v>95</v>
      </c>
      <c r="L139">
        <v>125</v>
      </c>
      <c r="M139">
        <v>110</v>
      </c>
      <c r="N139">
        <v>110</v>
      </c>
    </row>
    <row r="140" spans="1:14" x14ac:dyDescent="0.2">
      <c r="A140" t="s">
        <v>138</v>
      </c>
      <c r="B140" t="s">
        <v>563</v>
      </c>
      <c r="C140" t="s">
        <v>398</v>
      </c>
      <c r="D140" t="s">
        <v>402</v>
      </c>
      <c r="E140" t="s">
        <v>410</v>
      </c>
      <c r="F140" t="s">
        <v>414</v>
      </c>
      <c r="G140">
        <v>194.90554414784395</v>
      </c>
      <c r="H140" t="s">
        <v>419</v>
      </c>
      <c r="J140">
        <v>117</v>
      </c>
      <c r="K140">
        <v>132</v>
      </c>
      <c r="L140">
        <v>115</v>
      </c>
      <c r="M140">
        <v>127</v>
      </c>
      <c r="N140">
        <v>127</v>
      </c>
    </row>
    <row r="141" spans="1:14" x14ac:dyDescent="0.2">
      <c r="A141" t="s">
        <v>139</v>
      </c>
      <c r="B141" t="s">
        <v>564</v>
      </c>
      <c r="C141" t="s">
        <v>398</v>
      </c>
      <c r="D141" t="s">
        <v>402</v>
      </c>
      <c r="E141" t="s">
        <v>410</v>
      </c>
      <c r="F141" t="s">
        <v>414</v>
      </c>
      <c r="G141">
        <v>150.90554414784395</v>
      </c>
      <c r="H141" t="s">
        <v>419</v>
      </c>
      <c r="J141">
        <v>111</v>
      </c>
      <c r="K141">
        <v>124</v>
      </c>
      <c r="L141">
        <v>117</v>
      </c>
      <c r="M141">
        <v>121</v>
      </c>
      <c r="N141">
        <v>123</v>
      </c>
    </row>
    <row r="142" spans="1:14" x14ac:dyDescent="0.2">
      <c r="A142" t="s">
        <v>140</v>
      </c>
      <c r="B142" t="s">
        <v>565</v>
      </c>
      <c r="C142" t="s">
        <v>398</v>
      </c>
      <c r="D142" t="s">
        <v>405</v>
      </c>
      <c r="E142" t="s">
        <v>410</v>
      </c>
      <c r="F142" t="s">
        <v>414</v>
      </c>
      <c r="G142">
        <v>190.19096509240245</v>
      </c>
      <c r="H142" t="s">
        <v>419</v>
      </c>
      <c r="J142">
        <v>137</v>
      </c>
      <c r="K142">
        <v>120</v>
      </c>
      <c r="L142">
        <v>131</v>
      </c>
      <c r="M142">
        <v>136</v>
      </c>
      <c r="N142">
        <v>128</v>
      </c>
    </row>
    <row r="143" spans="1:14" x14ac:dyDescent="0.2">
      <c r="A143" t="s">
        <v>141</v>
      </c>
      <c r="B143" t="s">
        <v>566</v>
      </c>
      <c r="C143" t="s">
        <v>398</v>
      </c>
      <c r="D143" t="s">
        <v>405</v>
      </c>
      <c r="E143" t="s">
        <v>410</v>
      </c>
      <c r="F143" t="s">
        <v>414</v>
      </c>
      <c r="G143">
        <v>213.50102669404518</v>
      </c>
      <c r="H143" t="s">
        <v>418</v>
      </c>
      <c r="J143">
        <v>120</v>
      </c>
      <c r="K143">
        <v>119</v>
      </c>
      <c r="L143">
        <v>144</v>
      </c>
      <c r="M143">
        <v>134</v>
      </c>
      <c r="N143">
        <v>134</v>
      </c>
    </row>
    <row r="144" spans="1:14" x14ac:dyDescent="0.2">
      <c r="A144" t="s">
        <v>142</v>
      </c>
      <c r="B144" t="s">
        <v>567</v>
      </c>
      <c r="C144" t="s">
        <v>398</v>
      </c>
      <c r="D144" t="s">
        <v>402</v>
      </c>
      <c r="E144" t="s">
        <v>410</v>
      </c>
      <c r="F144" t="s">
        <v>413</v>
      </c>
      <c r="G144">
        <v>146.58110882956879</v>
      </c>
      <c r="H144" t="s">
        <v>418</v>
      </c>
      <c r="J144">
        <v>102</v>
      </c>
      <c r="K144">
        <v>103</v>
      </c>
      <c r="L144">
        <v>88</v>
      </c>
      <c r="M144">
        <v>98</v>
      </c>
      <c r="N144">
        <v>96</v>
      </c>
    </row>
    <row r="145" spans="1:14" x14ac:dyDescent="0.2">
      <c r="A145" t="s">
        <v>143</v>
      </c>
      <c r="B145" t="s">
        <v>568</v>
      </c>
      <c r="C145" t="s">
        <v>398</v>
      </c>
      <c r="D145" t="s">
        <v>402</v>
      </c>
      <c r="E145" t="s">
        <v>410</v>
      </c>
      <c r="F145" t="s">
        <v>415</v>
      </c>
      <c r="G145">
        <v>134.81108829568788</v>
      </c>
      <c r="H145" t="s">
        <v>418</v>
      </c>
      <c r="J145">
        <v>110</v>
      </c>
      <c r="K145">
        <v>130</v>
      </c>
      <c r="L145">
        <v>104</v>
      </c>
      <c r="M145">
        <v>118</v>
      </c>
      <c r="N145">
        <v>119</v>
      </c>
    </row>
    <row r="146" spans="1:14" x14ac:dyDescent="0.2">
      <c r="A146" t="s">
        <v>144</v>
      </c>
      <c r="B146" t="s">
        <v>569</v>
      </c>
      <c r="C146" t="s">
        <v>398</v>
      </c>
      <c r="D146" t="s">
        <v>402</v>
      </c>
      <c r="E146" t="s">
        <v>410</v>
      </c>
      <c r="F146" t="s">
        <v>415</v>
      </c>
      <c r="G146">
        <v>110.81108829568788</v>
      </c>
      <c r="H146" t="s">
        <v>418</v>
      </c>
      <c r="J146">
        <v>117</v>
      </c>
      <c r="K146">
        <v>108</v>
      </c>
      <c r="L146">
        <v>109</v>
      </c>
      <c r="M146">
        <v>113</v>
      </c>
      <c r="N146">
        <v>110</v>
      </c>
    </row>
    <row r="147" spans="1:14" x14ac:dyDescent="0.2">
      <c r="A147" t="s">
        <v>145</v>
      </c>
      <c r="B147" t="s">
        <v>570</v>
      </c>
      <c r="C147" t="s">
        <v>398</v>
      </c>
      <c r="D147" t="s">
        <v>404</v>
      </c>
      <c r="E147" t="s">
        <v>410</v>
      </c>
      <c r="F147" t="s">
        <v>414</v>
      </c>
      <c r="G147">
        <v>146.6611909650924</v>
      </c>
      <c r="H147" t="s">
        <v>419</v>
      </c>
      <c r="J147">
        <v>142</v>
      </c>
      <c r="K147">
        <v>147</v>
      </c>
      <c r="L147">
        <v>123</v>
      </c>
      <c r="M147">
        <v>147</v>
      </c>
      <c r="N147">
        <v>139</v>
      </c>
    </row>
    <row r="148" spans="1:14" x14ac:dyDescent="0.2">
      <c r="A148" t="s">
        <v>146</v>
      </c>
      <c r="B148" t="s">
        <v>571</v>
      </c>
      <c r="C148" t="s">
        <v>398</v>
      </c>
      <c r="D148" t="s">
        <v>402</v>
      </c>
      <c r="E148" t="s">
        <v>410</v>
      </c>
      <c r="F148" t="s">
        <v>414</v>
      </c>
      <c r="G148">
        <v>149.22381930184804</v>
      </c>
      <c r="H148" t="s">
        <v>419</v>
      </c>
      <c r="J148">
        <v>148</v>
      </c>
      <c r="K148">
        <v>120</v>
      </c>
      <c r="L148">
        <v>106</v>
      </c>
      <c r="M148">
        <v>131</v>
      </c>
      <c r="N148">
        <v>114</v>
      </c>
    </row>
    <row r="149" spans="1:14" x14ac:dyDescent="0.2">
      <c r="A149" t="s">
        <v>147</v>
      </c>
      <c r="B149" t="s">
        <v>572</v>
      </c>
      <c r="C149" t="s">
        <v>398</v>
      </c>
      <c r="D149" t="s">
        <v>402</v>
      </c>
      <c r="E149" t="s">
        <v>410</v>
      </c>
      <c r="F149" t="s">
        <v>414</v>
      </c>
      <c r="G149">
        <v>157.6611909650924</v>
      </c>
      <c r="H149" t="s">
        <v>419</v>
      </c>
      <c r="J149">
        <v>133</v>
      </c>
      <c r="K149">
        <v>137</v>
      </c>
      <c r="L149">
        <v>112</v>
      </c>
      <c r="M149">
        <v>134</v>
      </c>
      <c r="N149">
        <v>128</v>
      </c>
    </row>
    <row r="150" spans="1:14" x14ac:dyDescent="0.2">
      <c r="A150" t="s">
        <v>148</v>
      </c>
      <c r="B150" t="s">
        <v>573</v>
      </c>
      <c r="C150" t="s">
        <v>398</v>
      </c>
      <c r="D150" t="s">
        <v>402</v>
      </c>
      <c r="E150" t="s">
        <v>410</v>
      </c>
      <c r="F150" t="s">
        <v>414</v>
      </c>
      <c r="G150">
        <v>155.95687885010267</v>
      </c>
      <c r="H150" t="s">
        <v>419</v>
      </c>
      <c r="J150">
        <v>120</v>
      </c>
      <c r="K150">
        <v>102</v>
      </c>
      <c r="L150">
        <v>108</v>
      </c>
      <c r="M150">
        <v>112</v>
      </c>
      <c r="N150">
        <v>106</v>
      </c>
    </row>
    <row r="151" spans="1:14" x14ac:dyDescent="0.2">
      <c r="A151" t="s">
        <v>149</v>
      </c>
      <c r="B151" t="s">
        <v>574</v>
      </c>
      <c r="C151" t="s">
        <v>398</v>
      </c>
      <c r="D151" t="s">
        <v>402</v>
      </c>
      <c r="E151" t="s">
        <v>410</v>
      </c>
      <c r="F151" t="s">
        <v>414</v>
      </c>
      <c r="G151">
        <v>131.62833675564681</v>
      </c>
      <c r="H151" t="s">
        <v>418</v>
      </c>
      <c r="J151">
        <v>89</v>
      </c>
      <c r="K151">
        <v>80</v>
      </c>
      <c r="L151">
        <v>121</v>
      </c>
      <c r="M151">
        <v>96</v>
      </c>
      <c r="N151">
        <v>100</v>
      </c>
    </row>
    <row r="152" spans="1:14" x14ac:dyDescent="0.2">
      <c r="A152" t="s">
        <v>150</v>
      </c>
      <c r="B152" t="s">
        <v>575</v>
      </c>
      <c r="C152" t="s">
        <v>398</v>
      </c>
      <c r="D152" t="s">
        <v>402</v>
      </c>
      <c r="E152" t="s">
        <v>410</v>
      </c>
      <c r="F152" t="s">
        <v>413</v>
      </c>
      <c r="G152">
        <v>137.95687885010267</v>
      </c>
      <c r="H152" t="s">
        <v>418</v>
      </c>
      <c r="J152">
        <v>114</v>
      </c>
      <c r="K152">
        <v>107</v>
      </c>
      <c r="L152">
        <v>101</v>
      </c>
      <c r="M152">
        <v>109</v>
      </c>
      <c r="N152">
        <v>105</v>
      </c>
    </row>
    <row r="153" spans="1:14" x14ac:dyDescent="0.2">
      <c r="A153" t="s">
        <v>151</v>
      </c>
      <c r="B153" t="s">
        <v>576</v>
      </c>
      <c r="C153" t="s">
        <v>398</v>
      </c>
      <c r="D153" t="s">
        <v>402</v>
      </c>
      <c r="E153" t="s">
        <v>410</v>
      </c>
      <c r="F153" t="s">
        <v>415</v>
      </c>
      <c r="G153">
        <v>110.95687885010267</v>
      </c>
      <c r="H153" t="s">
        <v>418</v>
      </c>
      <c r="J153">
        <v>100</v>
      </c>
      <c r="K153">
        <v>94</v>
      </c>
      <c r="L153">
        <v>91</v>
      </c>
      <c r="M153">
        <v>94</v>
      </c>
      <c r="N153">
        <v>92</v>
      </c>
    </row>
    <row r="154" spans="1:14" x14ac:dyDescent="0.2">
      <c r="A154" t="s">
        <v>152</v>
      </c>
      <c r="B154" t="s">
        <v>577</v>
      </c>
      <c r="C154" t="s">
        <v>398</v>
      </c>
      <c r="D154" t="s">
        <v>402</v>
      </c>
      <c r="E154" t="s">
        <v>410</v>
      </c>
      <c r="F154" t="s">
        <v>414</v>
      </c>
      <c r="G154">
        <v>214.35523613963039</v>
      </c>
      <c r="H154" t="s">
        <v>419</v>
      </c>
      <c r="J154">
        <v>110</v>
      </c>
      <c r="K154">
        <v>115</v>
      </c>
      <c r="L154">
        <v>108</v>
      </c>
      <c r="M154">
        <v>113</v>
      </c>
      <c r="N154">
        <v>113</v>
      </c>
    </row>
    <row r="155" spans="1:14" x14ac:dyDescent="0.2">
      <c r="A155" t="s">
        <v>153</v>
      </c>
      <c r="B155" t="s">
        <v>578</v>
      </c>
      <c r="C155" t="s">
        <v>398</v>
      </c>
      <c r="D155" t="s">
        <v>402</v>
      </c>
      <c r="E155" t="s">
        <v>410</v>
      </c>
      <c r="F155" t="s">
        <v>414</v>
      </c>
      <c r="G155">
        <v>177.13141683778235</v>
      </c>
      <c r="H155" t="s">
        <v>418</v>
      </c>
      <c r="J155">
        <v>109</v>
      </c>
      <c r="K155">
        <v>107</v>
      </c>
      <c r="L155">
        <v>107</v>
      </c>
      <c r="M155">
        <v>109</v>
      </c>
      <c r="N155">
        <v>108</v>
      </c>
    </row>
    <row r="156" spans="1:14" x14ac:dyDescent="0.2">
      <c r="A156" t="s">
        <v>154</v>
      </c>
      <c r="B156" t="s">
        <v>579</v>
      </c>
      <c r="C156" t="s">
        <v>398</v>
      </c>
      <c r="D156" t="s">
        <v>402</v>
      </c>
      <c r="E156" t="s">
        <v>410</v>
      </c>
      <c r="F156" t="s">
        <v>414</v>
      </c>
      <c r="G156">
        <v>160.05544147843943</v>
      </c>
      <c r="H156" t="s">
        <v>418</v>
      </c>
      <c r="J156">
        <v>108</v>
      </c>
      <c r="K156">
        <v>107</v>
      </c>
      <c r="L156">
        <v>101</v>
      </c>
      <c r="M156">
        <v>106</v>
      </c>
      <c r="N156">
        <v>105</v>
      </c>
    </row>
    <row r="157" spans="1:14" x14ac:dyDescent="0.2">
      <c r="A157" t="s">
        <v>155</v>
      </c>
      <c r="B157" t="s">
        <v>580</v>
      </c>
      <c r="C157" t="s">
        <v>398</v>
      </c>
      <c r="D157" t="s">
        <v>404</v>
      </c>
      <c r="E157" t="s">
        <v>410</v>
      </c>
      <c r="F157" t="s">
        <v>414</v>
      </c>
      <c r="G157">
        <v>168.90554414784395</v>
      </c>
      <c r="H157" t="s">
        <v>419</v>
      </c>
      <c r="J157">
        <v>103</v>
      </c>
      <c r="K157">
        <v>110</v>
      </c>
      <c r="L157">
        <v>109</v>
      </c>
      <c r="M157">
        <v>108</v>
      </c>
      <c r="N157">
        <v>111</v>
      </c>
    </row>
    <row r="158" spans="1:14" x14ac:dyDescent="0.2">
      <c r="A158" t="s">
        <v>156</v>
      </c>
      <c r="B158" t="s">
        <v>581</v>
      </c>
      <c r="C158" t="s">
        <v>398</v>
      </c>
      <c r="D158" t="s">
        <v>402</v>
      </c>
      <c r="E158" t="s">
        <v>410</v>
      </c>
      <c r="F158" t="s">
        <v>414</v>
      </c>
      <c r="G158">
        <v>127.91375770020534</v>
      </c>
      <c r="H158" t="s">
        <v>418</v>
      </c>
      <c r="J158">
        <v>131</v>
      </c>
      <c r="K158">
        <v>120</v>
      </c>
      <c r="L158">
        <v>119</v>
      </c>
      <c r="M158">
        <v>129</v>
      </c>
      <c r="N158">
        <v>122</v>
      </c>
    </row>
    <row r="159" spans="1:14" x14ac:dyDescent="0.2">
      <c r="A159" t="s">
        <v>157</v>
      </c>
      <c r="B159" t="s">
        <v>582</v>
      </c>
      <c r="C159" t="s">
        <v>398</v>
      </c>
      <c r="D159" t="s">
        <v>402</v>
      </c>
      <c r="E159" t="s">
        <v>411</v>
      </c>
      <c r="F159" t="s">
        <v>414</v>
      </c>
      <c r="G159">
        <v>139.58110882956879</v>
      </c>
      <c r="H159" t="s">
        <v>419</v>
      </c>
      <c r="J159">
        <v>126</v>
      </c>
      <c r="K159">
        <v>136</v>
      </c>
      <c r="L159">
        <v>133</v>
      </c>
      <c r="M159">
        <v>139</v>
      </c>
      <c r="N159">
        <v>139</v>
      </c>
    </row>
    <row r="160" spans="1:14" x14ac:dyDescent="0.2">
      <c r="A160" t="s">
        <v>158</v>
      </c>
      <c r="B160" t="s">
        <v>583</v>
      </c>
      <c r="C160" t="s">
        <v>398</v>
      </c>
      <c r="D160" t="s">
        <v>402</v>
      </c>
      <c r="E160" t="s">
        <v>410</v>
      </c>
      <c r="F160" t="s">
        <v>414</v>
      </c>
      <c r="G160">
        <v>173.8583162217659</v>
      </c>
      <c r="H160" t="s">
        <v>418</v>
      </c>
      <c r="J160">
        <v>97</v>
      </c>
      <c r="K160">
        <v>89</v>
      </c>
      <c r="L160">
        <v>96</v>
      </c>
      <c r="M160">
        <v>93</v>
      </c>
      <c r="N160">
        <v>92</v>
      </c>
    </row>
    <row r="161" spans="1:14" x14ac:dyDescent="0.2">
      <c r="A161" t="s">
        <v>159</v>
      </c>
      <c r="B161" t="s">
        <v>584</v>
      </c>
      <c r="C161" t="s">
        <v>398</v>
      </c>
      <c r="D161" t="s">
        <v>402</v>
      </c>
      <c r="E161" t="s">
        <v>410</v>
      </c>
      <c r="F161" t="s">
        <v>414</v>
      </c>
      <c r="G161">
        <v>205.36139630390144</v>
      </c>
      <c r="H161" t="s">
        <v>419</v>
      </c>
      <c r="J161">
        <v>106</v>
      </c>
      <c r="K161">
        <v>117</v>
      </c>
      <c r="L161">
        <v>121</v>
      </c>
      <c r="M161">
        <v>117</v>
      </c>
      <c r="N161">
        <v>121</v>
      </c>
    </row>
    <row r="162" spans="1:14" x14ac:dyDescent="0.2">
      <c r="A162" t="s">
        <v>160</v>
      </c>
      <c r="B162" t="s">
        <v>585</v>
      </c>
      <c r="C162" t="s">
        <v>398</v>
      </c>
      <c r="D162" t="s">
        <v>402</v>
      </c>
      <c r="E162" t="s">
        <v>410</v>
      </c>
      <c r="F162" t="s">
        <v>413</v>
      </c>
      <c r="G162">
        <v>167.70841889117042</v>
      </c>
      <c r="H162" t="s">
        <v>419</v>
      </c>
      <c r="J162">
        <v>86</v>
      </c>
      <c r="K162">
        <v>103</v>
      </c>
      <c r="L162">
        <v>96</v>
      </c>
      <c r="M162">
        <v>94</v>
      </c>
      <c r="N162">
        <v>100</v>
      </c>
    </row>
    <row r="163" spans="1:14" x14ac:dyDescent="0.2">
      <c r="A163" t="s">
        <v>161</v>
      </c>
      <c r="B163" t="s">
        <v>586</v>
      </c>
      <c r="C163" t="s">
        <v>398</v>
      </c>
      <c r="D163" t="s">
        <v>402</v>
      </c>
      <c r="E163" t="s">
        <v>410</v>
      </c>
      <c r="F163" t="s">
        <v>415</v>
      </c>
      <c r="G163">
        <v>139.93839835728951</v>
      </c>
      <c r="H163" t="s">
        <v>419</v>
      </c>
      <c r="J163">
        <v>110</v>
      </c>
      <c r="K163">
        <v>119</v>
      </c>
      <c r="L163">
        <v>120</v>
      </c>
      <c r="M163">
        <v>120</v>
      </c>
      <c r="N163">
        <v>122</v>
      </c>
    </row>
    <row r="164" spans="1:14" x14ac:dyDescent="0.2">
      <c r="A164" t="s">
        <v>162</v>
      </c>
      <c r="B164" t="s">
        <v>587</v>
      </c>
      <c r="C164" t="s">
        <v>398</v>
      </c>
      <c r="D164" t="s">
        <v>402</v>
      </c>
      <c r="E164" t="s">
        <v>410</v>
      </c>
      <c r="F164" t="s">
        <v>415</v>
      </c>
      <c r="G164">
        <v>104.93839835728953</v>
      </c>
      <c r="H164" t="s">
        <v>419</v>
      </c>
      <c r="J164">
        <v>106</v>
      </c>
      <c r="K164">
        <v>84</v>
      </c>
      <c r="L164">
        <v>89</v>
      </c>
      <c r="M164">
        <v>92</v>
      </c>
      <c r="N164">
        <v>85</v>
      </c>
    </row>
    <row r="165" spans="1:14" x14ac:dyDescent="0.2">
      <c r="A165" t="s">
        <v>163</v>
      </c>
      <c r="B165" t="s">
        <v>588</v>
      </c>
      <c r="C165" t="s">
        <v>398</v>
      </c>
      <c r="D165" t="s">
        <v>404</v>
      </c>
      <c r="E165" t="s">
        <v>410</v>
      </c>
      <c r="F165" t="s">
        <v>414</v>
      </c>
      <c r="G165">
        <v>186.72689938398358</v>
      </c>
      <c r="H165" t="s">
        <v>418</v>
      </c>
      <c r="J165">
        <v>139</v>
      </c>
      <c r="K165">
        <v>144</v>
      </c>
      <c r="L165">
        <v>120</v>
      </c>
      <c r="M165">
        <v>143</v>
      </c>
      <c r="N165">
        <v>136</v>
      </c>
    </row>
    <row r="166" spans="1:14" x14ac:dyDescent="0.2">
      <c r="A166" t="s">
        <v>164</v>
      </c>
      <c r="B166" t="s">
        <v>589</v>
      </c>
      <c r="C166" t="s">
        <v>398</v>
      </c>
      <c r="D166" t="s">
        <v>404</v>
      </c>
      <c r="E166" t="s">
        <v>410</v>
      </c>
      <c r="F166" t="s">
        <v>413</v>
      </c>
      <c r="G166">
        <v>193.66735112936345</v>
      </c>
      <c r="H166" t="s">
        <v>418</v>
      </c>
      <c r="J166">
        <v>73</v>
      </c>
      <c r="K166">
        <v>84</v>
      </c>
      <c r="L166">
        <v>80</v>
      </c>
      <c r="M166">
        <v>75</v>
      </c>
      <c r="N166">
        <v>80</v>
      </c>
    </row>
    <row r="167" spans="1:14" x14ac:dyDescent="0.2">
      <c r="A167" t="s">
        <v>165</v>
      </c>
      <c r="B167" t="s">
        <v>590</v>
      </c>
      <c r="C167" t="s">
        <v>398</v>
      </c>
      <c r="D167" t="s">
        <v>404</v>
      </c>
      <c r="E167" t="s">
        <v>410</v>
      </c>
      <c r="F167" t="s">
        <v>414</v>
      </c>
      <c r="G167">
        <v>203.15400410677617</v>
      </c>
      <c r="H167" t="s">
        <v>419</v>
      </c>
      <c r="J167">
        <v>103</v>
      </c>
      <c r="K167">
        <v>94</v>
      </c>
      <c r="L167">
        <v>101</v>
      </c>
      <c r="M167">
        <v>99</v>
      </c>
      <c r="N167">
        <v>97</v>
      </c>
    </row>
    <row r="168" spans="1:14" x14ac:dyDescent="0.2">
      <c r="A168" t="s">
        <v>166</v>
      </c>
      <c r="B168" t="s">
        <v>591</v>
      </c>
      <c r="C168" t="s">
        <v>398</v>
      </c>
      <c r="D168" t="s">
        <v>402</v>
      </c>
      <c r="E168" t="s">
        <v>410</v>
      </c>
      <c r="F168" t="s">
        <v>414</v>
      </c>
      <c r="G168">
        <v>189.49691991786449</v>
      </c>
      <c r="H168" t="s">
        <v>418</v>
      </c>
      <c r="J168">
        <v>148</v>
      </c>
      <c r="K168">
        <v>143</v>
      </c>
      <c r="L168">
        <v>126</v>
      </c>
      <c r="M168">
        <v>149</v>
      </c>
      <c r="N168">
        <v>139</v>
      </c>
    </row>
    <row r="169" spans="1:14" x14ac:dyDescent="0.2">
      <c r="A169" t="s">
        <v>167</v>
      </c>
      <c r="B169" t="s">
        <v>592</v>
      </c>
      <c r="C169" t="s">
        <v>398</v>
      </c>
      <c r="D169" t="s">
        <v>402</v>
      </c>
      <c r="E169" t="s">
        <v>410</v>
      </c>
      <c r="F169" t="s">
        <v>414</v>
      </c>
      <c r="G169">
        <v>110.75154004106776</v>
      </c>
      <c r="H169" t="s">
        <v>418</v>
      </c>
      <c r="J169">
        <v>139</v>
      </c>
      <c r="K169">
        <v>115</v>
      </c>
      <c r="L169">
        <v>123</v>
      </c>
      <c r="M169">
        <v>132</v>
      </c>
      <c r="N169">
        <v>121</v>
      </c>
    </row>
    <row r="170" spans="1:14" x14ac:dyDescent="0.2">
      <c r="A170" t="s">
        <v>168</v>
      </c>
      <c r="B170" t="s">
        <v>593</v>
      </c>
      <c r="C170" t="s">
        <v>398</v>
      </c>
      <c r="D170" t="s">
        <v>402</v>
      </c>
      <c r="E170" t="s">
        <v>410</v>
      </c>
      <c r="F170" t="s">
        <v>414</v>
      </c>
      <c r="G170">
        <v>104.21355236139631</v>
      </c>
      <c r="H170" t="s">
        <v>419</v>
      </c>
      <c r="J170">
        <v>109</v>
      </c>
      <c r="K170">
        <v>113</v>
      </c>
      <c r="L170">
        <v>107</v>
      </c>
      <c r="M170">
        <v>112</v>
      </c>
      <c r="N170">
        <v>112</v>
      </c>
    </row>
    <row r="171" spans="1:14" x14ac:dyDescent="0.2">
      <c r="A171" t="s">
        <v>169</v>
      </c>
      <c r="B171" t="s">
        <v>594</v>
      </c>
      <c r="C171" t="s">
        <v>398</v>
      </c>
      <c r="D171" t="s">
        <v>404</v>
      </c>
      <c r="E171" t="s">
        <v>410</v>
      </c>
      <c r="F171" t="s">
        <v>413</v>
      </c>
      <c r="G171">
        <v>213.62833675564681</v>
      </c>
      <c r="H171" t="s">
        <v>419</v>
      </c>
      <c r="J171">
        <v>147</v>
      </c>
      <c r="K171">
        <v>116</v>
      </c>
      <c r="L171">
        <v>135</v>
      </c>
      <c r="M171">
        <v>140</v>
      </c>
      <c r="N171">
        <v>128</v>
      </c>
    </row>
    <row r="172" spans="1:14" x14ac:dyDescent="0.2">
      <c r="A172" t="s">
        <v>170</v>
      </c>
      <c r="B172" t="s">
        <v>595</v>
      </c>
      <c r="C172" t="s">
        <v>398</v>
      </c>
      <c r="D172" t="s">
        <v>402</v>
      </c>
      <c r="E172" t="s">
        <v>410</v>
      </c>
      <c r="F172" t="s">
        <v>413</v>
      </c>
      <c r="G172">
        <v>145.14989733059548</v>
      </c>
      <c r="H172" t="s">
        <v>418</v>
      </c>
      <c r="J172">
        <v>68</v>
      </c>
      <c r="K172">
        <v>89</v>
      </c>
      <c r="L172">
        <v>96</v>
      </c>
      <c r="M172">
        <v>80</v>
      </c>
      <c r="N172">
        <v>91</v>
      </c>
    </row>
    <row r="173" spans="1:14" x14ac:dyDescent="0.2">
      <c r="A173" t="s">
        <v>171</v>
      </c>
      <c r="B173" t="s">
        <v>596</v>
      </c>
      <c r="C173" t="s">
        <v>398</v>
      </c>
      <c r="D173" t="s">
        <v>402</v>
      </c>
      <c r="E173" t="s">
        <v>410</v>
      </c>
      <c r="F173" t="s">
        <v>413</v>
      </c>
      <c r="G173">
        <v>134.73100616016427</v>
      </c>
      <c r="H173" t="s">
        <v>419</v>
      </c>
      <c r="J173">
        <v>72</v>
      </c>
      <c r="K173">
        <v>89</v>
      </c>
      <c r="L173">
        <v>77</v>
      </c>
      <c r="M173">
        <v>76</v>
      </c>
      <c r="N173">
        <v>81</v>
      </c>
    </row>
    <row r="174" spans="1:14" x14ac:dyDescent="0.2">
      <c r="A174" t="s">
        <v>172</v>
      </c>
      <c r="B174" t="s">
        <v>597</v>
      </c>
      <c r="C174" t="s">
        <v>398</v>
      </c>
      <c r="D174" t="s">
        <v>407</v>
      </c>
      <c r="E174" t="s">
        <v>410</v>
      </c>
      <c r="F174" t="s">
        <v>413</v>
      </c>
      <c r="G174">
        <v>187.03696098562628</v>
      </c>
      <c r="H174" t="s">
        <v>419</v>
      </c>
      <c r="J174">
        <v>77</v>
      </c>
      <c r="K174">
        <v>71</v>
      </c>
      <c r="L174">
        <v>71</v>
      </c>
      <c r="M174">
        <v>70</v>
      </c>
      <c r="N174">
        <v>68</v>
      </c>
    </row>
    <row r="175" spans="1:14" x14ac:dyDescent="0.2">
      <c r="A175" t="s">
        <v>173</v>
      </c>
      <c r="B175" t="s">
        <v>598</v>
      </c>
      <c r="C175" t="s">
        <v>398</v>
      </c>
      <c r="D175" t="s">
        <v>404</v>
      </c>
      <c r="E175" t="s">
        <v>410</v>
      </c>
      <c r="F175" t="s">
        <v>415</v>
      </c>
      <c r="G175">
        <v>153.03696098562628</v>
      </c>
      <c r="H175" t="s">
        <v>419</v>
      </c>
      <c r="J175">
        <v>103</v>
      </c>
      <c r="K175">
        <v>95</v>
      </c>
      <c r="L175">
        <v>96</v>
      </c>
      <c r="M175">
        <v>98</v>
      </c>
      <c r="N175">
        <v>95</v>
      </c>
    </row>
    <row r="176" spans="1:14" x14ac:dyDescent="0.2">
      <c r="A176" t="s">
        <v>174</v>
      </c>
      <c r="B176" t="s">
        <v>599</v>
      </c>
      <c r="C176" t="s">
        <v>398</v>
      </c>
      <c r="D176" t="s">
        <v>402</v>
      </c>
      <c r="E176" t="s">
        <v>410</v>
      </c>
      <c r="F176" t="s">
        <v>413</v>
      </c>
      <c r="G176">
        <v>135.69815195071868</v>
      </c>
      <c r="H176" t="s">
        <v>418</v>
      </c>
      <c r="J176">
        <v>105</v>
      </c>
      <c r="K176">
        <v>132</v>
      </c>
      <c r="L176">
        <v>102</v>
      </c>
      <c r="M176">
        <v>116</v>
      </c>
      <c r="N176">
        <v>120</v>
      </c>
    </row>
    <row r="177" spans="1:14" x14ac:dyDescent="0.2">
      <c r="A177" t="s">
        <v>175</v>
      </c>
      <c r="B177" t="s">
        <v>600</v>
      </c>
      <c r="C177" t="s">
        <v>398</v>
      </c>
      <c r="D177" t="s">
        <v>402</v>
      </c>
      <c r="E177" t="s">
        <v>410</v>
      </c>
      <c r="F177" t="s">
        <v>414</v>
      </c>
      <c r="G177">
        <v>195.87679671457906</v>
      </c>
      <c r="H177" t="s">
        <v>418</v>
      </c>
      <c r="J177">
        <v>103</v>
      </c>
      <c r="K177">
        <v>111</v>
      </c>
      <c r="L177">
        <v>149</v>
      </c>
      <c r="M177">
        <v>126</v>
      </c>
      <c r="N177">
        <v>133</v>
      </c>
    </row>
    <row r="178" spans="1:14" x14ac:dyDescent="0.2">
      <c r="A178" t="s">
        <v>176</v>
      </c>
      <c r="B178" t="s">
        <v>601</v>
      </c>
      <c r="C178" t="s">
        <v>398</v>
      </c>
      <c r="D178" t="s">
        <v>402</v>
      </c>
      <c r="E178" t="s">
        <v>410</v>
      </c>
      <c r="F178" t="s">
        <v>414</v>
      </c>
      <c r="G178">
        <v>154.55852156057495</v>
      </c>
      <c r="H178" t="s">
        <v>418</v>
      </c>
      <c r="J178">
        <v>124</v>
      </c>
      <c r="K178">
        <v>115</v>
      </c>
      <c r="L178">
        <v>114</v>
      </c>
      <c r="M178">
        <v>121</v>
      </c>
      <c r="N178">
        <v>116</v>
      </c>
    </row>
    <row r="179" spans="1:14" x14ac:dyDescent="0.2">
      <c r="A179" t="s">
        <v>177</v>
      </c>
      <c r="B179" t="s">
        <v>602</v>
      </c>
      <c r="C179" t="s">
        <v>398</v>
      </c>
      <c r="D179" t="s">
        <v>404</v>
      </c>
      <c r="E179" t="s">
        <v>410</v>
      </c>
      <c r="F179" t="s">
        <v>414</v>
      </c>
      <c r="G179">
        <v>164.21560574948666</v>
      </c>
      <c r="H179" t="s">
        <v>418</v>
      </c>
      <c r="J179">
        <v>120</v>
      </c>
      <c r="K179">
        <v>123</v>
      </c>
      <c r="L179">
        <v>122</v>
      </c>
      <c r="M179">
        <v>127</v>
      </c>
      <c r="N179">
        <v>125</v>
      </c>
    </row>
    <row r="180" spans="1:14" x14ac:dyDescent="0.2">
      <c r="A180" t="s">
        <v>178</v>
      </c>
      <c r="B180" t="s">
        <v>603</v>
      </c>
      <c r="C180" t="s">
        <v>398</v>
      </c>
      <c r="D180" t="s">
        <v>405</v>
      </c>
      <c r="E180" t="s">
        <v>410</v>
      </c>
      <c r="F180" t="s">
        <v>414</v>
      </c>
      <c r="G180">
        <v>167.62217659137576</v>
      </c>
      <c r="H180" t="s">
        <v>418</v>
      </c>
      <c r="J180">
        <v>112</v>
      </c>
      <c r="K180">
        <v>114</v>
      </c>
      <c r="L180">
        <v>120</v>
      </c>
      <c r="M180">
        <v>118</v>
      </c>
      <c r="N180">
        <v>119</v>
      </c>
    </row>
    <row r="181" spans="1:14" x14ac:dyDescent="0.2">
      <c r="A181" t="s">
        <v>179</v>
      </c>
      <c r="B181" t="s">
        <v>604</v>
      </c>
      <c r="C181" t="s">
        <v>398</v>
      </c>
      <c r="D181" t="s">
        <v>405</v>
      </c>
      <c r="E181" t="s">
        <v>410</v>
      </c>
      <c r="F181" t="s">
        <v>414</v>
      </c>
      <c r="G181">
        <v>213.48665297741272</v>
      </c>
      <c r="H181" t="s">
        <v>418</v>
      </c>
      <c r="J181">
        <v>106</v>
      </c>
      <c r="K181">
        <v>115</v>
      </c>
      <c r="L181">
        <v>120</v>
      </c>
      <c r="M181">
        <v>116</v>
      </c>
      <c r="N181">
        <v>119</v>
      </c>
    </row>
    <row r="182" spans="1:14" x14ac:dyDescent="0.2">
      <c r="A182" t="s">
        <v>180</v>
      </c>
      <c r="B182" t="s">
        <v>605</v>
      </c>
      <c r="C182" t="s">
        <v>398</v>
      </c>
      <c r="D182" t="s">
        <v>404</v>
      </c>
      <c r="E182" t="s">
        <v>410</v>
      </c>
      <c r="F182" t="s">
        <v>414</v>
      </c>
      <c r="G182">
        <v>214.76796714579055</v>
      </c>
      <c r="H182" t="s">
        <v>418</v>
      </c>
      <c r="J182">
        <v>106</v>
      </c>
      <c r="K182">
        <v>93</v>
      </c>
      <c r="L182">
        <v>107</v>
      </c>
      <c r="M182">
        <v>102</v>
      </c>
      <c r="N182">
        <v>100</v>
      </c>
    </row>
    <row r="183" spans="1:14" x14ac:dyDescent="0.2">
      <c r="A183" t="s">
        <v>181</v>
      </c>
      <c r="B183" t="s">
        <v>606</v>
      </c>
      <c r="C183" t="s">
        <v>398</v>
      </c>
      <c r="D183" t="s">
        <v>404</v>
      </c>
      <c r="E183" t="s">
        <v>410</v>
      </c>
      <c r="F183" t="s">
        <v>414</v>
      </c>
      <c r="G183">
        <v>198.86652977412732</v>
      </c>
      <c r="H183" t="s">
        <v>418</v>
      </c>
      <c r="J183">
        <v>89</v>
      </c>
      <c r="K183">
        <v>128</v>
      </c>
      <c r="L183">
        <v>124</v>
      </c>
      <c r="M183">
        <v>117</v>
      </c>
      <c r="N183">
        <v>129</v>
      </c>
    </row>
    <row r="184" spans="1:14" x14ac:dyDescent="0.2">
      <c r="A184" t="s">
        <v>182</v>
      </c>
      <c r="B184" t="s">
        <v>607</v>
      </c>
      <c r="C184" t="s">
        <v>398</v>
      </c>
      <c r="D184" t="s">
        <v>402</v>
      </c>
      <c r="E184" t="s">
        <v>410</v>
      </c>
      <c r="F184" t="s">
        <v>413</v>
      </c>
      <c r="G184">
        <v>151.85215605749485</v>
      </c>
      <c r="H184" t="s">
        <v>418</v>
      </c>
      <c r="J184">
        <v>129</v>
      </c>
      <c r="K184">
        <v>130</v>
      </c>
      <c r="L184">
        <v>94</v>
      </c>
      <c r="M184">
        <v>122</v>
      </c>
      <c r="N184">
        <v>114</v>
      </c>
    </row>
    <row r="185" spans="1:14" x14ac:dyDescent="0.2">
      <c r="A185" t="s">
        <v>183</v>
      </c>
      <c r="B185" t="s">
        <v>608</v>
      </c>
      <c r="C185" t="s">
        <v>398</v>
      </c>
      <c r="D185" t="s">
        <v>402</v>
      </c>
      <c r="E185" t="s">
        <v>410</v>
      </c>
      <c r="F185" t="s">
        <v>414</v>
      </c>
      <c r="G185">
        <v>155.26899383983573</v>
      </c>
      <c r="H185" t="s">
        <v>418</v>
      </c>
      <c r="J185">
        <v>114</v>
      </c>
      <c r="K185">
        <v>132</v>
      </c>
      <c r="L185">
        <v>108</v>
      </c>
      <c r="M185">
        <v>122</v>
      </c>
      <c r="N185">
        <v>123</v>
      </c>
    </row>
    <row r="186" spans="1:14" x14ac:dyDescent="0.2">
      <c r="A186" t="s">
        <v>184</v>
      </c>
      <c r="B186" t="s">
        <v>609</v>
      </c>
      <c r="C186" t="s">
        <v>398</v>
      </c>
      <c r="D186" t="s">
        <v>402</v>
      </c>
      <c r="E186" t="s">
        <v>410</v>
      </c>
      <c r="F186" t="s">
        <v>414</v>
      </c>
      <c r="G186">
        <v>133.19096509240245</v>
      </c>
      <c r="H186" t="s">
        <v>419</v>
      </c>
      <c r="J186">
        <v>120</v>
      </c>
      <c r="K186">
        <v>98</v>
      </c>
      <c r="L186">
        <v>102</v>
      </c>
      <c r="M186">
        <v>107</v>
      </c>
      <c r="N186">
        <v>100</v>
      </c>
    </row>
    <row r="187" spans="1:14" x14ac:dyDescent="0.2">
      <c r="A187" t="s">
        <v>185</v>
      </c>
      <c r="B187" t="s">
        <v>610</v>
      </c>
      <c r="C187" t="s">
        <v>398</v>
      </c>
      <c r="D187" t="s">
        <v>402</v>
      </c>
      <c r="E187" t="s">
        <v>410</v>
      </c>
      <c r="F187" t="s">
        <v>414</v>
      </c>
      <c r="G187">
        <v>112.95277207392198</v>
      </c>
      <c r="H187" t="s">
        <v>419</v>
      </c>
      <c r="J187">
        <v>110</v>
      </c>
      <c r="K187">
        <v>128</v>
      </c>
      <c r="L187">
        <v>103</v>
      </c>
      <c r="M187">
        <v>117</v>
      </c>
      <c r="N187">
        <v>118</v>
      </c>
    </row>
    <row r="188" spans="1:14" x14ac:dyDescent="0.2">
      <c r="A188" t="s">
        <v>186</v>
      </c>
      <c r="B188" t="s">
        <v>611</v>
      </c>
      <c r="C188" t="s">
        <v>398</v>
      </c>
      <c r="D188" t="s">
        <v>402</v>
      </c>
      <c r="E188" t="s">
        <v>410</v>
      </c>
      <c r="F188" t="s">
        <v>413</v>
      </c>
      <c r="G188">
        <v>140.32032854209444</v>
      </c>
      <c r="H188" t="s">
        <v>418</v>
      </c>
      <c r="J188">
        <v>84</v>
      </c>
      <c r="K188">
        <v>89</v>
      </c>
      <c r="L188">
        <v>64</v>
      </c>
      <c r="M188">
        <v>76</v>
      </c>
      <c r="N188">
        <v>75</v>
      </c>
    </row>
    <row r="189" spans="1:14" x14ac:dyDescent="0.2">
      <c r="A189" t="s">
        <v>187</v>
      </c>
      <c r="B189" t="s">
        <v>612</v>
      </c>
      <c r="C189" t="s">
        <v>398</v>
      </c>
      <c r="D189" t="s">
        <v>402</v>
      </c>
      <c r="E189" t="s">
        <v>410</v>
      </c>
      <c r="F189" t="s">
        <v>413</v>
      </c>
      <c r="G189">
        <v>110.62012320328542</v>
      </c>
      <c r="H189" t="s">
        <v>418</v>
      </c>
      <c r="J189">
        <v>71</v>
      </c>
      <c r="K189">
        <v>64</v>
      </c>
      <c r="L189">
        <v>76</v>
      </c>
      <c r="M189">
        <v>67</v>
      </c>
      <c r="N189">
        <v>67</v>
      </c>
    </row>
    <row r="190" spans="1:14" x14ac:dyDescent="0.2">
      <c r="A190" t="s">
        <v>188</v>
      </c>
      <c r="B190" t="s">
        <v>613</v>
      </c>
      <c r="C190" t="s">
        <v>398</v>
      </c>
      <c r="D190" t="s">
        <v>402</v>
      </c>
      <c r="E190" t="s">
        <v>410</v>
      </c>
      <c r="F190" t="s">
        <v>413</v>
      </c>
      <c r="G190">
        <v>113.51129363449692</v>
      </c>
      <c r="H190" t="s">
        <v>419</v>
      </c>
      <c r="J190">
        <v>108</v>
      </c>
      <c r="K190">
        <v>83</v>
      </c>
      <c r="L190">
        <v>96</v>
      </c>
      <c r="M190">
        <v>94</v>
      </c>
      <c r="N190">
        <v>88</v>
      </c>
    </row>
    <row r="191" spans="1:14" x14ac:dyDescent="0.2">
      <c r="A191" t="s">
        <v>189</v>
      </c>
      <c r="B191" t="s">
        <v>614</v>
      </c>
      <c r="C191" t="s">
        <v>398</v>
      </c>
      <c r="D191" t="s">
        <v>402</v>
      </c>
      <c r="E191" t="s">
        <v>410</v>
      </c>
      <c r="F191" t="s">
        <v>415</v>
      </c>
      <c r="G191">
        <v>167.12936344969199</v>
      </c>
      <c r="H191" t="s">
        <v>419</v>
      </c>
      <c r="J191">
        <v>126</v>
      </c>
      <c r="K191">
        <v>107</v>
      </c>
      <c r="L191">
        <v>104</v>
      </c>
      <c r="M191">
        <v>115</v>
      </c>
      <c r="N191">
        <v>107</v>
      </c>
    </row>
    <row r="192" spans="1:14" x14ac:dyDescent="0.2">
      <c r="A192" t="s">
        <v>190</v>
      </c>
      <c r="B192" t="s">
        <v>615</v>
      </c>
      <c r="C192" t="s">
        <v>398</v>
      </c>
      <c r="D192" t="s">
        <v>402</v>
      </c>
      <c r="E192" t="s">
        <v>410</v>
      </c>
      <c r="F192" t="s">
        <v>413</v>
      </c>
      <c r="G192">
        <v>138.48049281314169</v>
      </c>
      <c r="H192" t="s">
        <v>419</v>
      </c>
      <c r="J192">
        <v>99</v>
      </c>
      <c r="K192">
        <v>101</v>
      </c>
      <c r="L192">
        <v>95</v>
      </c>
      <c r="M192">
        <v>98</v>
      </c>
      <c r="N192">
        <v>98</v>
      </c>
    </row>
    <row r="193" spans="1:14" x14ac:dyDescent="0.2">
      <c r="A193" t="s">
        <v>191</v>
      </c>
      <c r="B193" t="s">
        <v>616</v>
      </c>
      <c r="C193" t="s">
        <v>398</v>
      </c>
      <c r="D193" t="s">
        <v>404</v>
      </c>
      <c r="E193" t="s">
        <v>410</v>
      </c>
      <c r="F193" t="s">
        <v>413</v>
      </c>
      <c r="G193">
        <v>174.16016427104722</v>
      </c>
      <c r="H193" t="s">
        <v>418</v>
      </c>
      <c r="J193">
        <v>99</v>
      </c>
      <c r="K193">
        <v>110</v>
      </c>
      <c r="L193">
        <v>108</v>
      </c>
      <c r="M193">
        <v>106</v>
      </c>
      <c r="N193">
        <v>110</v>
      </c>
    </row>
    <row r="194" spans="1:14" x14ac:dyDescent="0.2">
      <c r="A194" t="s">
        <v>192</v>
      </c>
      <c r="B194" t="s">
        <v>617</v>
      </c>
      <c r="C194" t="s">
        <v>398</v>
      </c>
      <c r="D194" t="s">
        <v>402</v>
      </c>
      <c r="E194" t="s">
        <v>410</v>
      </c>
      <c r="F194" t="s">
        <v>413</v>
      </c>
      <c r="G194">
        <v>125.96303901437372</v>
      </c>
      <c r="H194" t="s">
        <v>418</v>
      </c>
      <c r="J194">
        <v>89</v>
      </c>
      <c r="K194">
        <v>105</v>
      </c>
      <c r="L194">
        <v>106</v>
      </c>
      <c r="M194">
        <v>101</v>
      </c>
      <c r="N194">
        <v>106</v>
      </c>
    </row>
    <row r="195" spans="1:14" x14ac:dyDescent="0.2">
      <c r="A195" t="s">
        <v>193</v>
      </c>
      <c r="B195" t="s">
        <v>618</v>
      </c>
      <c r="C195" t="s">
        <v>398</v>
      </c>
      <c r="D195" t="s">
        <v>402</v>
      </c>
      <c r="E195" t="s">
        <v>410</v>
      </c>
      <c r="F195" t="s">
        <v>415</v>
      </c>
      <c r="G195">
        <v>108.51745379876797</v>
      </c>
      <c r="H195" t="s">
        <v>419</v>
      </c>
      <c r="J195">
        <v>108</v>
      </c>
      <c r="K195">
        <v>80</v>
      </c>
      <c r="L195">
        <v>105</v>
      </c>
      <c r="M195">
        <v>97</v>
      </c>
      <c r="N195">
        <v>91</v>
      </c>
    </row>
    <row r="196" spans="1:14" x14ac:dyDescent="0.2">
      <c r="A196" t="s">
        <v>194</v>
      </c>
      <c r="B196" t="s">
        <v>619</v>
      </c>
      <c r="C196" t="s">
        <v>399</v>
      </c>
      <c r="D196" t="s">
        <v>402</v>
      </c>
      <c r="E196" t="s">
        <v>410</v>
      </c>
      <c r="F196" t="s">
        <v>414</v>
      </c>
      <c r="G196">
        <v>180.29568788501027</v>
      </c>
      <c r="H196" t="s">
        <v>419</v>
      </c>
      <c r="J196">
        <v>89</v>
      </c>
      <c r="K196">
        <v>101</v>
      </c>
      <c r="L196">
        <v>90</v>
      </c>
      <c r="M196">
        <v>92</v>
      </c>
      <c r="N196">
        <v>95</v>
      </c>
    </row>
    <row r="197" spans="1:14" x14ac:dyDescent="0.2">
      <c r="A197" t="s">
        <v>195</v>
      </c>
      <c r="B197" t="s">
        <v>620</v>
      </c>
      <c r="C197" t="s">
        <v>399</v>
      </c>
      <c r="D197" t="s">
        <v>402</v>
      </c>
      <c r="E197" t="s">
        <v>410</v>
      </c>
      <c r="F197" t="s">
        <v>413</v>
      </c>
      <c r="G197">
        <v>147.47843942505133</v>
      </c>
      <c r="H197" t="s">
        <v>419</v>
      </c>
      <c r="J197">
        <v>90</v>
      </c>
      <c r="K197">
        <v>100</v>
      </c>
      <c r="L197">
        <v>96</v>
      </c>
      <c r="M197">
        <v>95</v>
      </c>
      <c r="N197">
        <v>98</v>
      </c>
    </row>
    <row r="198" spans="1:14" x14ac:dyDescent="0.2">
      <c r="A198" t="s">
        <v>196</v>
      </c>
      <c r="B198" t="s">
        <v>621</v>
      </c>
      <c r="C198" t="s">
        <v>399</v>
      </c>
      <c r="D198" t="s">
        <v>402</v>
      </c>
      <c r="E198" t="s">
        <v>410</v>
      </c>
      <c r="F198" t="s">
        <v>415</v>
      </c>
      <c r="G198">
        <v>106.47843942505133</v>
      </c>
      <c r="H198" t="s">
        <v>419</v>
      </c>
      <c r="J198">
        <v>85</v>
      </c>
      <c r="K198">
        <v>111</v>
      </c>
      <c r="L198">
        <v>95</v>
      </c>
      <c r="M198">
        <v>97</v>
      </c>
      <c r="N198">
        <v>194</v>
      </c>
    </row>
    <row r="199" spans="1:14" x14ac:dyDescent="0.2">
      <c r="A199" t="s">
        <v>197</v>
      </c>
      <c r="B199" t="s">
        <v>622</v>
      </c>
      <c r="C199" t="s">
        <v>399</v>
      </c>
      <c r="D199" t="s">
        <v>404</v>
      </c>
      <c r="E199" t="s">
        <v>410</v>
      </c>
      <c r="F199" t="s">
        <v>413</v>
      </c>
      <c r="G199">
        <v>142.98562628336757</v>
      </c>
      <c r="H199" t="s">
        <v>419</v>
      </c>
      <c r="J199">
        <v>109</v>
      </c>
      <c r="K199">
        <v>93</v>
      </c>
      <c r="L199">
        <v>110</v>
      </c>
      <c r="M199">
        <v>104</v>
      </c>
      <c r="N199">
        <v>101</v>
      </c>
    </row>
    <row r="200" spans="1:14" x14ac:dyDescent="0.2">
      <c r="A200" t="s">
        <v>198</v>
      </c>
      <c r="B200" t="s">
        <v>623</v>
      </c>
      <c r="C200" t="s">
        <v>399</v>
      </c>
      <c r="D200" t="s">
        <v>402</v>
      </c>
      <c r="E200" t="s">
        <v>410</v>
      </c>
      <c r="F200" t="s">
        <v>413</v>
      </c>
      <c r="G200">
        <v>117.69404517453799</v>
      </c>
      <c r="H200" t="s">
        <v>418</v>
      </c>
      <c r="J200">
        <v>94</v>
      </c>
      <c r="K200">
        <v>107</v>
      </c>
      <c r="L200">
        <v>125</v>
      </c>
      <c r="M200">
        <v>110</v>
      </c>
      <c r="N200">
        <v>118</v>
      </c>
    </row>
    <row r="201" spans="1:14" x14ac:dyDescent="0.2">
      <c r="A201" t="s">
        <v>199</v>
      </c>
      <c r="B201" t="s">
        <v>624</v>
      </c>
      <c r="C201" t="s">
        <v>399</v>
      </c>
      <c r="D201" t="s">
        <v>404</v>
      </c>
      <c r="E201" t="s">
        <v>411</v>
      </c>
      <c r="F201" t="s">
        <v>413</v>
      </c>
      <c r="G201">
        <v>207.38809034907598</v>
      </c>
      <c r="H201" t="s">
        <v>418</v>
      </c>
      <c r="J201">
        <v>120</v>
      </c>
      <c r="K201">
        <v>107</v>
      </c>
      <c r="L201">
        <v>85</v>
      </c>
      <c r="M201">
        <v>104</v>
      </c>
      <c r="N201">
        <v>96</v>
      </c>
    </row>
    <row r="202" spans="1:14" x14ac:dyDescent="0.2">
      <c r="A202" t="s">
        <v>200</v>
      </c>
      <c r="B202" t="s">
        <v>625</v>
      </c>
      <c r="C202" t="s">
        <v>399</v>
      </c>
      <c r="D202" t="s">
        <v>408</v>
      </c>
      <c r="E202" t="s">
        <v>411</v>
      </c>
      <c r="F202" t="s">
        <v>413</v>
      </c>
      <c r="G202">
        <v>210.41273100616016</v>
      </c>
      <c r="H202" t="s">
        <v>418</v>
      </c>
      <c r="J202">
        <v>120</v>
      </c>
      <c r="K202">
        <v>108</v>
      </c>
      <c r="L202">
        <v>107</v>
      </c>
      <c r="M202">
        <v>113</v>
      </c>
      <c r="N202">
        <v>109</v>
      </c>
    </row>
    <row r="203" spans="1:14" x14ac:dyDescent="0.2">
      <c r="A203" t="s">
        <v>201</v>
      </c>
      <c r="B203" t="s">
        <v>626</v>
      </c>
      <c r="C203" t="s">
        <v>399</v>
      </c>
      <c r="D203" t="s">
        <v>403</v>
      </c>
      <c r="E203" t="s">
        <v>410</v>
      </c>
      <c r="F203" t="s">
        <v>413</v>
      </c>
      <c r="G203">
        <v>162.6899383983573</v>
      </c>
      <c r="H203" t="s">
        <v>418</v>
      </c>
      <c r="J203">
        <v>114</v>
      </c>
      <c r="K203">
        <v>111</v>
      </c>
      <c r="L203">
        <v>111</v>
      </c>
      <c r="M203">
        <v>114</v>
      </c>
      <c r="N203">
        <v>113</v>
      </c>
    </row>
    <row r="204" spans="1:14" x14ac:dyDescent="0.2">
      <c r="A204" t="s">
        <v>202</v>
      </c>
      <c r="B204" t="s">
        <v>627</v>
      </c>
      <c r="C204" t="s">
        <v>399</v>
      </c>
      <c r="D204" t="s">
        <v>403</v>
      </c>
      <c r="E204" t="s">
        <v>410</v>
      </c>
      <c r="F204" t="s">
        <v>415</v>
      </c>
      <c r="G204">
        <v>195.6899383983573</v>
      </c>
      <c r="H204" t="s">
        <v>419</v>
      </c>
      <c r="J204">
        <v>128</v>
      </c>
      <c r="K204">
        <v>131</v>
      </c>
      <c r="L204">
        <v>116</v>
      </c>
      <c r="M204">
        <v>132</v>
      </c>
      <c r="N204">
        <v>127</v>
      </c>
    </row>
    <row r="205" spans="1:14" x14ac:dyDescent="0.2">
      <c r="A205" t="s">
        <v>203</v>
      </c>
      <c r="B205" t="s">
        <v>628</v>
      </c>
      <c r="C205" t="s">
        <v>399</v>
      </c>
      <c r="D205" t="s">
        <v>402</v>
      </c>
      <c r="E205" t="s">
        <v>410</v>
      </c>
      <c r="F205" t="s">
        <v>415</v>
      </c>
      <c r="G205">
        <v>128.43121149897331</v>
      </c>
      <c r="H205" t="s">
        <v>418</v>
      </c>
      <c r="J205">
        <v>122</v>
      </c>
      <c r="K205">
        <v>115</v>
      </c>
      <c r="L205">
        <v>115</v>
      </c>
      <c r="M205">
        <v>121</v>
      </c>
      <c r="N205">
        <v>117</v>
      </c>
    </row>
    <row r="206" spans="1:14" x14ac:dyDescent="0.2">
      <c r="A206" t="s">
        <v>204</v>
      </c>
      <c r="B206" t="s">
        <v>629</v>
      </c>
      <c r="C206" t="s">
        <v>399</v>
      </c>
      <c r="D206" t="s">
        <v>404</v>
      </c>
      <c r="E206" t="s">
        <v>410</v>
      </c>
      <c r="F206" t="s">
        <v>414</v>
      </c>
      <c r="G206">
        <v>136.74127310061601</v>
      </c>
      <c r="H206" t="s">
        <v>418</v>
      </c>
      <c r="J206">
        <v>159</v>
      </c>
      <c r="K206">
        <v>117</v>
      </c>
      <c r="L206">
        <v>117</v>
      </c>
      <c r="M206">
        <v>138</v>
      </c>
      <c r="N206">
        <v>119</v>
      </c>
    </row>
    <row r="207" spans="1:14" x14ac:dyDescent="0.2">
      <c r="A207" t="s">
        <v>205</v>
      </c>
      <c r="B207" t="s">
        <v>630</v>
      </c>
      <c r="C207" t="s">
        <v>399</v>
      </c>
      <c r="D207" t="s">
        <v>404</v>
      </c>
      <c r="E207" t="s">
        <v>410</v>
      </c>
      <c r="F207" t="s">
        <v>413</v>
      </c>
      <c r="G207">
        <v>149.75564681724845</v>
      </c>
      <c r="H207" t="s">
        <v>418</v>
      </c>
      <c r="J207">
        <v>114</v>
      </c>
      <c r="K207">
        <v>149</v>
      </c>
      <c r="L207">
        <v>115</v>
      </c>
      <c r="M207">
        <v>133</v>
      </c>
      <c r="N207">
        <v>136</v>
      </c>
    </row>
    <row r="208" spans="1:14" x14ac:dyDescent="0.2">
      <c r="A208" t="s">
        <v>206</v>
      </c>
      <c r="B208" t="s">
        <v>631</v>
      </c>
      <c r="C208" t="s">
        <v>399</v>
      </c>
      <c r="D208" t="s">
        <v>402</v>
      </c>
      <c r="E208" t="s">
        <v>410</v>
      </c>
      <c r="F208" t="s">
        <v>413</v>
      </c>
      <c r="G208">
        <v>98.80698151950719</v>
      </c>
      <c r="H208" t="s">
        <v>418</v>
      </c>
      <c r="J208">
        <v>80</v>
      </c>
      <c r="K208">
        <v>81</v>
      </c>
      <c r="L208">
        <v>84</v>
      </c>
      <c r="M208">
        <v>79</v>
      </c>
      <c r="N208">
        <v>81</v>
      </c>
    </row>
    <row r="209" spans="1:14" x14ac:dyDescent="0.2">
      <c r="A209" t="s">
        <v>207</v>
      </c>
      <c r="B209" t="s">
        <v>632</v>
      </c>
      <c r="C209" t="s">
        <v>399</v>
      </c>
      <c r="D209" t="s">
        <v>402</v>
      </c>
      <c r="E209" t="s">
        <v>411</v>
      </c>
      <c r="F209" t="s">
        <v>413</v>
      </c>
      <c r="G209">
        <v>146.26694045174537</v>
      </c>
      <c r="H209" t="s">
        <v>418</v>
      </c>
      <c r="J209">
        <v>116</v>
      </c>
      <c r="K209">
        <v>107</v>
      </c>
      <c r="L209">
        <v>92</v>
      </c>
      <c r="M209">
        <v>105</v>
      </c>
      <c r="N209">
        <v>100</v>
      </c>
    </row>
    <row r="210" spans="1:14" x14ac:dyDescent="0.2">
      <c r="A210" t="s">
        <v>208</v>
      </c>
      <c r="B210" t="s">
        <v>633</v>
      </c>
      <c r="C210" t="s">
        <v>399</v>
      </c>
      <c r="D210" t="s">
        <v>402</v>
      </c>
      <c r="E210" t="s">
        <v>411</v>
      </c>
      <c r="F210" t="s">
        <v>415</v>
      </c>
      <c r="G210">
        <v>107.26694045174538</v>
      </c>
      <c r="H210" t="s">
        <v>419</v>
      </c>
      <c r="J210">
        <v>119</v>
      </c>
      <c r="K210">
        <v>116</v>
      </c>
      <c r="L210">
        <v>96</v>
      </c>
      <c r="M210">
        <v>112</v>
      </c>
      <c r="N210">
        <v>108</v>
      </c>
    </row>
    <row r="211" spans="1:14" x14ac:dyDescent="0.2">
      <c r="A211" t="s">
        <v>209</v>
      </c>
      <c r="B211" t="s">
        <v>634</v>
      </c>
      <c r="C211" t="s">
        <v>399</v>
      </c>
      <c r="D211" t="s">
        <v>402</v>
      </c>
      <c r="E211" t="s">
        <v>411</v>
      </c>
      <c r="F211" t="s">
        <v>413</v>
      </c>
      <c r="G211">
        <v>169.21560574948666</v>
      </c>
      <c r="H211" t="s">
        <v>419</v>
      </c>
      <c r="J211">
        <v>92</v>
      </c>
      <c r="K211">
        <v>87</v>
      </c>
      <c r="L211">
        <v>87</v>
      </c>
      <c r="M211">
        <v>87</v>
      </c>
      <c r="N211">
        <v>85</v>
      </c>
    </row>
    <row r="212" spans="1:14" x14ac:dyDescent="0.2">
      <c r="A212" t="s">
        <v>210</v>
      </c>
      <c r="B212" t="s">
        <v>635</v>
      </c>
      <c r="C212" t="s">
        <v>399</v>
      </c>
      <c r="D212" t="s">
        <v>405</v>
      </c>
      <c r="E212" t="s">
        <v>410</v>
      </c>
      <c r="F212" t="s">
        <v>413</v>
      </c>
      <c r="G212">
        <v>106.7741273100616</v>
      </c>
      <c r="H212" t="s">
        <v>418</v>
      </c>
      <c r="J212">
        <v>111</v>
      </c>
      <c r="K212">
        <v>118</v>
      </c>
      <c r="L212">
        <v>126</v>
      </c>
      <c r="M212">
        <v>122</v>
      </c>
      <c r="N212">
        <v>124</v>
      </c>
    </row>
    <row r="213" spans="1:14" x14ac:dyDescent="0.2">
      <c r="A213" t="s">
        <v>211</v>
      </c>
      <c r="B213" t="s">
        <v>636</v>
      </c>
      <c r="C213" t="s">
        <v>399</v>
      </c>
      <c r="D213" t="s">
        <v>402</v>
      </c>
      <c r="E213" t="s">
        <v>410</v>
      </c>
      <c r="F213" t="s">
        <v>414</v>
      </c>
      <c r="G213">
        <v>208.91991786447639</v>
      </c>
      <c r="H213" t="s">
        <v>419</v>
      </c>
      <c r="J213">
        <v>99</v>
      </c>
      <c r="K213">
        <v>92</v>
      </c>
      <c r="L213">
        <v>88</v>
      </c>
      <c r="M213">
        <v>91</v>
      </c>
      <c r="N213">
        <v>89</v>
      </c>
    </row>
    <row r="214" spans="1:14" x14ac:dyDescent="0.2">
      <c r="A214" t="s">
        <v>212</v>
      </c>
      <c r="B214" t="s">
        <v>637</v>
      </c>
      <c r="C214" t="s">
        <v>399</v>
      </c>
      <c r="D214" t="s">
        <v>404</v>
      </c>
      <c r="E214" t="s">
        <v>410</v>
      </c>
      <c r="F214" t="s">
        <v>413</v>
      </c>
      <c r="G214">
        <v>159.34702258726898</v>
      </c>
      <c r="H214" t="s">
        <v>418</v>
      </c>
      <c r="J214">
        <v>86</v>
      </c>
      <c r="K214">
        <v>90</v>
      </c>
      <c r="L214">
        <v>105</v>
      </c>
      <c r="M214">
        <v>92</v>
      </c>
      <c r="N214">
        <v>97</v>
      </c>
    </row>
    <row r="215" spans="1:14" x14ac:dyDescent="0.2">
      <c r="A215" t="s">
        <v>213</v>
      </c>
      <c r="B215" t="s">
        <v>638</v>
      </c>
      <c r="C215" t="s">
        <v>399</v>
      </c>
      <c r="D215" t="s">
        <v>404</v>
      </c>
      <c r="E215" t="s">
        <v>411</v>
      </c>
      <c r="F215" t="s">
        <v>413</v>
      </c>
      <c r="G215">
        <v>192.14989733059548</v>
      </c>
      <c r="H215" t="s">
        <v>418</v>
      </c>
      <c r="J215">
        <v>93</v>
      </c>
      <c r="K215">
        <v>117</v>
      </c>
      <c r="L215">
        <v>102</v>
      </c>
      <c r="M215">
        <v>105</v>
      </c>
      <c r="N215">
        <v>111</v>
      </c>
    </row>
    <row r="216" spans="1:14" x14ac:dyDescent="0.2">
      <c r="A216" t="s">
        <v>214</v>
      </c>
      <c r="B216" t="s">
        <v>639</v>
      </c>
      <c r="C216" t="s">
        <v>399</v>
      </c>
      <c r="D216" t="s">
        <v>402</v>
      </c>
      <c r="E216" t="s">
        <v>410</v>
      </c>
      <c r="F216" t="s">
        <v>413</v>
      </c>
      <c r="G216">
        <v>158.98973305954826</v>
      </c>
      <c r="H216" t="s">
        <v>419</v>
      </c>
      <c r="J216">
        <v>80</v>
      </c>
      <c r="K216">
        <v>87</v>
      </c>
      <c r="L216">
        <v>93</v>
      </c>
      <c r="M216">
        <v>84</v>
      </c>
      <c r="N216">
        <v>89</v>
      </c>
    </row>
    <row r="217" spans="1:14" x14ac:dyDescent="0.2">
      <c r="A217" t="s">
        <v>215</v>
      </c>
      <c r="B217" t="s">
        <v>640</v>
      </c>
      <c r="C217" t="s">
        <v>399</v>
      </c>
      <c r="D217" t="s">
        <v>402</v>
      </c>
      <c r="E217" t="s">
        <v>410</v>
      </c>
      <c r="F217" t="s">
        <v>415</v>
      </c>
      <c r="G217">
        <v>132.98973305954826</v>
      </c>
      <c r="H217" t="s">
        <v>418</v>
      </c>
      <c r="J217">
        <v>124</v>
      </c>
      <c r="K217">
        <v>123</v>
      </c>
      <c r="L217">
        <v>100</v>
      </c>
      <c r="M217">
        <v>119</v>
      </c>
      <c r="N217">
        <v>114</v>
      </c>
    </row>
    <row r="218" spans="1:14" x14ac:dyDescent="0.2">
      <c r="A218" t="s">
        <v>216</v>
      </c>
      <c r="B218" t="s">
        <v>641</v>
      </c>
      <c r="C218" t="s">
        <v>399</v>
      </c>
      <c r="D218" t="s">
        <v>403</v>
      </c>
      <c r="E218" t="s">
        <v>410</v>
      </c>
      <c r="F218" t="s">
        <v>414</v>
      </c>
      <c r="G218">
        <v>186.22997946611909</v>
      </c>
      <c r="H218" t="s">
        <v>418</v>
      </c>
      <c r="J218">
        <v>120</v>
      </c>
      <c r="K218">
        <v>105</v>
      </c>
      <c r="L218">
        <v>101</v>
      </c>
      <c r="M218">
        <v>110</v>
      </c>
      <c r="N218">
        <v>104</v>
      </c>
    </row>
    <row r="219" spans="1:14" x14ac:dyDescent="0.2">
      <c r="A219" t="s">
        <v>217</v>
      </c>
      <c r="B219" t="s">
        <v>642</v>
      </c>
      <c r="C219" t="s">
        <v>399</v>
      </c>
      <c r="D219" t="s">
        <v>403</v>
      </c>
      <c r="E219" t="s">
        <v>410</v>
      </c>
      <c r="F219" t="s">
        <v>413</v>
      </c>
      <c r="G219">
        <v>143.52977412731005</v>
      </c>
      <c r="H219" t="s">
        <v>419</v>
      </c>
      <c r="J219">
        <v>80</v>
      </c>
      <c r="K219">
        <v>96</v>
      </c>
      <c r="L219">
        <v>79</v>
      </c>
      <c r="M219">
        <v>82</v>
      </c>
      <c r="N219">
        <v>86</v>
      </c>
    </row>
    <row r="220" spans="1:14" x14ac:dyDescent="0.2">
      <c r="A220" t="s">
        <v>218</v>
      </c>
      <c r="B220" t="s">
        <v>643</v>
      </c>
      <c r="C220" t="s">
        <v>399</v>
      </c>
      <c r="D220" t="s">
        <v>403</v>
      </c>
      <c r="E220" t="s">
        <v>410</v>
      </c>
      <c r="F220" t="s">
        <v>413</v>
      </c>
      <c r="G220">
        <v>162.52977412731005</v>
      </c>
      <c r="H220" t="s">
        <v>418</v>
      </c>
      <c r="J220">
        <v>80</v>
      </c>
      <c r="K220">
        <v>90</v>
      </c>
      <c r="L220">
        <v>108</v>
      </c>
      <c r="M220">
        <v>91</v>
      </c>
      <c r="N220">
        <v>99</v>
      </c>
    </row>
    <row r="221" spans="1:14" x14ac:dyDescent="0.2">
      <c r="A221" t="s">
        <v>219</v>
      </c>
      <c r="B221" t="s">
        <v>644</v>
      </c>
      <c r="C221" t="s">
        <v>399</v>
      </c>
      <c r="D221" t="s">
        <v>402</v>
      </c>
      <c r="E221" t="s">
        <v>410</v>
      </c>
      <c r="F221" t="s">
        <v>413</v>
      </c>
      <c r="G221">
        <v>104.20123203285421</v>
      </c>
      <c r="H221" t="s">
        <v>418</v>
      </c>
      <c r="J221">
        <v>127</v>
      </c>
      <c r="K221">
        <v>115</v>
      </c>
      <c r="L221">
        <v>107</v>
      </c>
      <c r="M221">
        <v>119</v>
      </c>
      <c r="N221">
        <v>113</v>
      </c>
    </row>
    <row r="222" spans="1:14" x14ac:dyDescent="0.2">
      <c r="A222" t="s">
        <v>220</v>
      </c>
      <c r="B222" t="s">
        <v>645</v>
      </c>
      <c r="C222" t="s">
        <v>399</v>
      </c>
      <c r="D222" t="s">
        <v>402</v>
      </c>
      <c r="E222" t="s">
        <v>411</v>
      </c>
      <c r="F222" t="s">
        <v>413</v>
      </c>
      <c r="G222">
        <v>126.29979466119096</v>
      </c>
      <c r="H222" t="s">
        <v>418</v>
      </c>
      <c r="J222">
        <v>106</v>
      </c>
      <c r="K222">
        <v>92</v>
      </c>
      <c r="L222">
        <v>98</v>
      </c>
      <c r="M222">
        <v>98</v>
      </c>
      <c r="N222">
        <v>94</v>
      </c>
    </row>
    <row r="223" spans="1:14" x14ac:dyDescent="0.2">
      <c r="A223" t="s">
        <v>221</v>
      </c>
      <c r="B223" t="s">
        <v>646</v>
      </c>
      <c r="C223" t="s">
        <v>399</v>
      </c>
      <c r="D223" t="s">
        <v>402</v>
      </c>
      <c r="E223" t="s">
        <v>411</v>
      </c>
      <c r="F223" t="s">
        <v>413</v>
      </c>
      <c r="G223">
        <v>150.79260780287476</v>
      </c>
      <c r="H223" t="s">
        <v>418</v>
      </c>
      <c r="J223">
        <v>72</v>
      </c>
      <c r="K223">
        <v>78</v>
      </c>
      <c r="L223">
        <v>100</v>
      </c>
      <c r="M223">
        <v>80</v>
      </c>
      <c r="N223">
        <v>88</v>
      </c>
    </row>
    <row r="224" spans="1:14" x14ac:dyDescent="0.2">
      <c r="A224" t="s">
        <v>222</v>
      </c>
      <c r="B224" t="s">
        <v>647</v>
      </c>
      <c r="C224" t="s">
        <v>399</v>
      </c>
      <c r="D224" t="s">
        <v>402</v>
      </c>
      <c r="E224" t="s">
        <v>411</v>
      </c>
      <c r="F224" t="s">
        <v>413</v>
      </c>
      <c r="G224">
        <v>196.75975359342917</v>
      </c>
      <c r="H224" t="s">
        <v>418</v>
      </c>
      <c r="J224">
        <v>80</v>
      </c>
      <c r="K224">
        <v>111</v>
      </c>
      <c r="L224">
        <v>90</v>
      </c>
      <c r="M224">
        <v>93</v>
      </c>
      <c r="N224">
        <v>102</v>
      </c>
    </row>
    <row r="225" spans="1:14" x14ac:dyDescent="0.2">
      <c r="A225" t="s">
        <v>223</v>
      </c>
      <c r="B225" t="s">
        <v>648</v>
      </c>
      <c r="C225" t="s">
        <v>399</v>
      </c>
      <c r="D225" t="s">
        <v>403</v>
      </c>
      <c r="E225" t="s">
        <v>410</v>
      </c>
      <c r="F225" t="s">
        <v>413</v>
      </c>
      <c r="G225">
        <v>125.74127310061601</v>
      </c>
      <c r="H225" t="s">
        <v>419</v>
      </c>
      <c r="J225">
        <v>66</v>
      </c>
      <c r="K225">
        <v>88</v>
      </c>
      <c r="L225">
        <v>88</v>
      </c>
      <c r="M225">
        <v>77</v>
      </c>
      <c r="N225">
        <v>87</v>
      </c>
    </row>
    <row r="226" spans="1:14" x14ac:dyDescent="0.2">
      <c r="A226" t="s">
        <v>224</v>
      </c>
      <c r="B226" t="s">
        <v>649</v>
      </c>
      <c r="C226" t="s">
        <v>399</v>
      </c>
      <c r="D226" t="s">
        <v>403</v>
      </c>
      <c r="E226" t="s">
        <v>410</v>
      </c>
      <c r="F226" t="s">
        <v>413</v>
      </c>
      <c r="G226">
        <v>110.74127310061601</v>
      </c>
      <c r="H226" t="s">
        <v>419</v>
      </c>
      <c r="J226">
        <v>84</v>
      </c>
      <c r="K226">
        <v>88</v>
      </c>
      <c r="L226">
        <v>82</v>
      </c>
      <c r="M226">
        <v>82</v>
      </c>
      <c r="N226">
        <v>83</v>
      </c>
    </row>
    <row r="227" spans="1:14" x14ac:dyDescent="0.2">
      <c r="A227" t="s">
        <v>225</v>
      </c>
      <c r="B227" t="s">
        <v>650</v>
      </c>
      <c r="C227" t="s">
        <v>399</v>
      </c>
      <c r="D227" t="s">
        <v>402</v>
      </c>
      <c r="E227" t="s">
        <v>410</v>
      </c>
      <c r="F227" t="s">
        <v>413</v>
      </c>
      <c r="G227">
        <v>126.73100616016427</v>
      </c>
      <c r="H227" t="s">
        <v>419</v>
      </c>
      <c r="J227">
        <v>109</v>
      </c>
      <c r="K227">
        <v>89</v>
      </c>
      <c r="L227">
        <v>88</v>
      </c>
      <c r="M227">
        <v>94</v>
      </c>
      <c r="N227">
        <v>88</v>
      </c>
    </row>
    <row r="228" spans="1:14" x14ac:dyDescent="0.2">
      <c r="A228" t="s">
        <v>226</v>
      </c>
      <c r="B228" t="s">
        <v>651</v>
      </c>
      <c r="C228" t="s">
        <v>399</v>
      </c>
      <c r="D228" t="s">
        <v>402</v>
      </c>
      <c r="E228" t="s">
        <v>411</v>
      </c>
      <c r="F228" t="s">
        <v>414</v>
      </c>
      <c r="G228">
        <v>196.34702258726898</v>
      </c>
      <c r="H228" t="s">
        <v>419</v>
      </c>
      <c r="J228">
        <v>92</v>
      </c>
      <c r="K228">
        <v>101</v>
      </c>
      <c r="L228">
        <v>109</v>
      </c>
      <c r="M228">
        <v>101</v>
      </c>
      <c r="N228">
        <v>106</v>
      </c>
    </row>
    <row r="229" spans="1:14" x14ac:dyDescent="0.2">
      <c r="A229" t="s">
        <v>227</v>
      </c>
      <c r="B229" t="s">
        <v>652</v>
      </c>
      <c r="C229" t="s">
        <v>399</v>
      </c>
      <c r="D229" t="s">
        <v>402</v>
      </c>
      <c r="E229" t="s">
        <v>411</v>
      </c>
      <c r="F229" t="s">
        <v>414</v>
      </c>
      <c r="G229">
        <v>161.52977412731005</v>
      </c>
      <c r="H229" t="s">
        <v>418</v>
      </c>
      <c r="J229">
        <v>119</v>
      </c>
      <c r="K229">
        <v>111</v>
      </c>
      <c r="L229">
        <v>123</v>
      </c>
      <c r="M229">
        <v>121</v>
      </c>
      <c r="N229">
        <v>119</v>
      </c>
    </row>
    <row r="230" spans="1:14" x14ac:dyDescent="0.2">
      <c r="A230" t="s">
        <v>228</v>
      </c>
      <c r="B230" t="s">
        <v>653</v>
      </c>
      <c r="C230" t="s">
        <v>399</v>
      </c>
      <c r="D230" t="s">
        <v>402</v>
      </c>
      <c r="E230" t="s">
        <v>411</v>
      </c>
      <c r="F230" t="s">
        <v>414</v>
      </c>
      <c r="G230">
        <v>140.52977412731005</v>
      </c>
      <c r="H230" t="s">
        <v>419</v>
      </c>
      <c r="J230">
        <v>110</v>
      </c>
      <c r="K230">
        <v>112</v>
      </c>
      <c r="L230">
        <v>120</v>
      </c>
      <c r="M230">
        <v>117</v>
      </c>
      <c r="N230">
        <v>999</v>
      </c>
    </row>
    <row r="231" spans="1:14" x14ac:dyDescent="0.2">
      <c r="A231" t="s">
        <v>229</v>
      </c>
      <c r="B231" t="s">
        <v>654</v>
      </c>
      <c r="C231" t="s">
        <v>399</v>
      </c>
      <c r="D231" t="s">
        <v>402</v>
      </c>
      <c r="E231" t="s">
        <v>411</v>
      </c>
      <c r="F231" t="s">
        <v>414</v>
      </c>
      <c r="G231">
        <v>119.52977412731006</v>
      </c>
      <c r="H231" t="s">
        <v>418</v>
      </c>
      <c r="J231">
        <v>115</v>
      </c>
      <c r="K231">
        <v>111</v>
      </c>
      <c r="L231">
        <v>111</v>
      </c>
      <c r="M231">
        <v>115</v>
      </c>
      <c r="N231">
        <v>999</v>
      </c>
    </row>
    <row r="232" spans="1:14" x14ac:dyDescent="0.2">
      <c r="A232" t="s">
        <v>230</v>
      </c>
      <c r="B232" t="s">
        <v>655</v>
      </c>
      <c r="C232" t="s">
        <v>399</v>
      </c>
      <c r="D232" t="s">
        <v>402</v>
      </c>
      <c r="E232" t="s">
        <v>411</v>
      </c>
      <c r="F232" t="s">
        <v>413</v>
      </c>
      <c r="G232">
        <v>168.7741273100616</v>
      </c>
      <c r="H232" t="s">
        <v>419</v>
      </c>
      <c r="J232">
        <v>92</v>
      </c>
      <c r="K232">
        <v>84</v>
      </c>
      <c r="L232">
        <v>80</v>
      </c>
      <c r="M232">
        <v>83</v>
      </c>
      <c r="N232">
        <v>80</v>
      </c>
    </row>
    <row r="233" spans="1:14" x14ac:dyDescent="0.2">
      <c r="A233" t="s">
        <v>231</v>
      </c>
      <c r="B233" t="s">
        <v>656</v>
      </c>
      <c r="C233" t="s">
        <v>399</v>
      </c>
      <c r="D233" t="s">
        <v>402</v>
      </c>
      <c r="E233" t="s">
        <v>411</v>
      </c>
      <c r="F233" t="s">
        <v>413</v>
      </c>
      <c r="G233">
        <v>163.90554414784395</v>
      </c>
      <c r="H233" t="s">
        <v>418</v>
      </c>
      <c r="J233">
        <v>133</v>
      </c>
      <c r="K233">
        <v>127</v>
      </c>
      <c r="L233">
        <v>116</v>
      </c>
      <c r="M233">
        <v>132</v>
      </c>
      <c r="N233">
        <v>124</v>
      </c>
    </row>
    <row r="234" spans="1:14" x14ac:dyDescent="0.2">
      <c r="A234" t="s">
        <v>232</v>
      </c>
      <c r="B234" t="s">
        <v>657</v>
      </c>
      <c r="C234" t="s">
        <v>399</v>
      </c>
      <c r="D234" t="s">
        <v>404</v>
      </c>
      <c r="E234" t="s">
        <v>411</v>
      </c>
      <c r="F234" t="s">
        <v>413</v>
      </c>
      <c r="G234">
        <v>195.41273100616016</v>
      </c>
      <c r="H234" t="s">
        <v>418</v>
      </c>
      <c r="J234">
        <v>97</v>
      </c>
      <c r="K234">
        <v>103</v>
      </c>
      <c r="L234">
        <v>123</v>
      </c>
      <c r="M234">
        <v>109</v>
      </c>
      <c r="N234">
        <v>114</v>
      </c>
    </row>
    <row r="235" spans="1:14" x14ac:dyDescent="0.2">
      <c r="A235" t="s">
        <v>233</v>
      </c>
      <c r="B235" t="s">
        <v>658</v>
      </c>
      <c r="C235" t="s">
        <v>399</v>
      </c>
      <c r="D235" t="s">
        <v>404</v>
      </c>
      <c r="E235" t="s">
        <v>411</v>
      </c>
      <c r="F235" t="s">
        <v>415</v>
      </c>
      <c r="G235">
        <v>174.60985626283369</v>
      </c>
      <c r="H235" t="s">
        <v>419</v>
      </c>
      <c r="J235">
        <v>112</v>
      </c>
      <c r="K235">
        <v>111</v>
      </c>
      <c r="L235">
        <v>103</v>
      </c>
      <c r="M235">
        <v>111</v>
      </c>
      <c r="N235">
        <v>109</v>
      </c>
    </row>
    <row r="236" spans="1:14" x14ac:dyDescent="0.2">
      <c r="A236" t="s">
        <v>234</v>
      </c>
      <c r="B236" t="s">
        <v>659</v>
      </c>
      <c r="C236" t="s">
        <v>399</v>
      </c>
      <c r="D236" t="s">
        <v>402</v>
      </c>
      <c r="E236" t="s">
        <v>410</v>
      </c>
      <c r="F236" t="s">
        <v>413</v>
      </c>
      <c r="G236">
        <v>161.75564681724845</v>
      </c>
      <c r="H236" t="s">
        <v>418</v>
      </c>
      <c r="J236">
        <v>83</v>
      </c>
      <c r="K236">
        <v>79</v>
      </c>
      <c r="L236">
        <v>83</v>
      </c>
      <c r="M236">
        <v>79</v>
      </c>
      <c r="N236">
        <v>79</v>
      </c>
    </row>
    <row r="237" spans="1:14" x14ac:dyDescent="0.2">
      <c r="A237" t="s">
        <v>235</v>
      </c>
      <c r="B237" t="s">
        <v>660</v>
      </c>
      <c r="C237" t="s">
        <v>399</v>
      </c>
      <c r="D237" t="s">
        <v>402</v>
      </c>
      <c r="E237" t="s">
        <v>411</v>
      </c>
      <c r="F237" t="s">
        <v>413</v>
      </c>
      <c r="G237">
        <v>176</v>
      </c>
      <c r="H237" t="s">
        <v>418</v>
      </c>
      <c r="J237">
        <v>93</v>
      </c>
      <c r="K237">
        <v>103</v>
      </c>
      <c r="L237">
        <v>96</v>
      </c>
      <c r="M237">
        <v>98</v>
      </c>
      <c r="N237">
        <v>100</v>
      </c>
    </row>
    <row r="238" spans="1:14" x14ac:dyDescent="0.2">
      <c r="A238" t="s">
        <v>236</v>
      </c>
      <c r="B238" t="s">
        <v>661</v>
      </c>
      <c r="C238" t="s">
        <v>399</v>
      </c>
      <c r="D238" t="s">
        <v>403</v>
      </c>
      <c r="E238" t="s">
        <v>410</v>
      </c>
      <c r="F238" t="s">
        <v>413</v>
      </c>
      <c r="G238">
        <v>111</v>
      </c>
      <c r="H238" t="s">
        <v>418</v>
      </c>
      <c r="J238">
        <v>69</v>
      </c>
      <c r="K238">
        <v>77</v>
      </c>
      <c r="L238">
        <v>88</v>
      </c>
      <c r="M238">
        <v>74</v>
      </c>
      <c r="N238">
        <v>81</v>
      </c>
    </row>
    <row r="239" spans="1:14" x14ac:dyDescent="0.2">
      <c r="A239" t="s">
        <v>237</v>
      </c>
      <c r="B239" t="s">
        <v>662</v>
      </c>
      <c r="C239" t="s">
        <v>399</v>
      </c>
      <c r="D239" t="s">
        <v>403</v>
      </c>
      <c r="E239" t="s">
        <v>410</v>
      </c>
      <c r="F239" t="s">
        <v>415</v>
      </c>
      <c r="G239">
        <v>137</v>
      </c>
      <c r="H239" t="s">
        <v>419</v>
      </c>
      <c r="J239">
        <v>113</v>
      </c>
      <c r="K239">
        <v>96</v>
      </c>
      <c r="L239">
        <v>88</v>
      </c>
      <c r="M239">
        <v>99</v>
      </c>
      <c r="N239">
        <v>91</v>
      </c>
    </row>
    <row r="240" spans="1:14" x14ac:dyDescent="0.2">
      <c r="A240" t="s">
        <v>238</v>
      </c>
      <c r="B240" t="s">
        <v>663</v>
      </c>
      <c r="C240" t="s">
        <v>399</v>
      </c>
      <c r="D240" t="s">
        <v>402</v>
      </c>
      <c r="E240" t="s">
        <v>410</v>
      </c>
      <c r="F240" t="s">
        <v>413</v>
      </c>
      <c r="G240">
        <v>123.26694045174538</v>
      </c>
      <c r="H240" t="s">
        <v>419</v>
      </c>
      <c r="J240">
        <v>116</v>
      </c>
      <c r="K240">
        <v>106</v>
      </c>
      <c r="L240">
        <v>121</v>
      </c>
      <c r="M240">
        <v>117</v>
      </c>
      <c r="N240">
        <v>115</v>
      </c>
    </row>
    <row r="241" spans="1:14" x14ac:dyDescent="0.2">
      <c r="A241" t="s">
        <v>239</v>
      </c>
      <c r="B241" t="s">
        <v>664</v>
      </c>
      <c r="C241" t="s">
        <v>399</v>
      </c>
      <c r="D241" t="s">
        <v>402</v>
      </c>
      <c r="E241" t="s">
        <v>411</v>
      </c>
      <c r="F241" t="s">
        <v>413</v>
      </c>
      <c r="G241">
        <v>115</v>
      </c>
      <c r="H241" t="s">
        <v>418</v>
      </c>
      <c r="J241">
        <v>89</v>
      </c>
      <c r="K241">
        <v>79</v>
      </c>
      <c r="L241">
        <v>100</v>
      </c>
      <c r="M241">
        <v>87</v>
      </c>
      <c r="N241">
        <v>88</v>
      </c>
    </row>
    <row r="242" spans="1:14" x14ac:dyDescent="0.2">
      <c r="A242" t="s">
        <v>240</v>
      </c>
      <c r="B242" t="s">
        <v>665</v>
      </c>
      <c r="C242" t="s">
        <v>399</v>
      </c>
      <c r="D242" t="s">
        <v>402</v>
      </c>
      <c r="E242" t="s">
        <v>411</v>
      </c>
      <c r="F242" t="s">
        <v>413</v>
      </c>
      <c r="G242">
        <v>97</v>
      </c>
      <c r="H242" t="s">
        <v>419</v>
      </c>
      <c r="J242">
        <v>60</v>
      </c>
      <c r="K242">
        <v>84</v>
      </c>
      <c r="L242">
        <v>79</v>
      </c>
      <c r="M242">
        <v>71</v>
      </c>
      <c r="N242">
        <v>79</v>
      </c>
    </row>
    <row r="243" spans="1:14" x14ac:dyDescent="0.2">
      <c r="A243" t="s">
        <v>241</v>
      </c>
      <c r="B243" t="s">
        <v>666</v>
      </c>
      <c r="C243" t="s">
        <v>399</v>
      </c>
      <c r="D243" t="s">
        <v>404</v>
      </c>
      <c r="E243" t="s">
        <v>410</v>
      </c>
      <c r="F243" t="s">
        <v>413</v>
      </c>
      <c r="G243">
        <v>152.52977412731005</v>
      </c>
      <c r="H243" t="s">
        <v>419</v>
      </c>
      <c r="J243">
        <v>102</v>
      </c>
      <c r="K243">
        <v>89</v>
      </c>
      <c r="L243">
        <v>97</v>
      </c>
      <c r="M243">
        <v>95</v>
      </c>
      <c r="N243">
        <v>92</v>
      </c>
    </row>
    <row r="244" spans="1:14" x14ac:dyDescent="0.2">
      <c r="A244" t="s">
        <v>242</v>
      </c>
      <c r="B244" t="s">
        <v>667</v>
      </c>
      <c r="C244" t="s">
        <v>399</v>
      </c>
      <c r="D244" t="s">
        <v>402</v>
      </c>
      <c r="E244" t="s">
        <v>411</v>
      </c>
      <c r="F244" t="s">
        <v>413</v>
      </c>
      <c r="G244">
        <v>201</v>
      </c>
      <c r="H244" t="s">
        <v>419</v>
      </c>
      <c r="J244">
        <v>94</v>
      </c>
      <c r="K244">
        <v>81</v>
      </c>
      <c r="L244">
        <v>73</v>
      </c>
      <c r="M244">
        <v>80</v>
      </c>
      <c r="N244">
        <v>75</v>
      </c>
    </row>
    <row r="245" spans="1:14" x14ac:dyDescent="0.2">
      <c r="A245" t="s">
        <v>243</v>
      </c>
      <c r="B245" t="s">
        <v>668</v>
      </c>
      <c r="C245" t="s">
        <v>399</v>
      </c>
      <c r="D245" t="s">
        <v>402</v>
      </c>
      <c r="E245" t="s">
        <v>410</v>
      </c>
      <c r="F245" t="s">
        <v>414</v>
      </c>
      <c r="G245">
        <v>115.76386036960986</v>
      </c>
      <c r="H245" t="s">
        <v>419</v>
      </c>
      <c r="J245">
        <v>135</v>
      </c>
      <c r="K245">
        <v>107</v>
      </c>
      <c r="L245">
        <v>113</v>
      </c>
      <c r="M245">
        <v>122</v>
      </c>
      <c r="N245">
        <v>111</v>
      </c>
    </row>
    <row r="246" spans="1:14" x14ac:dyDescent="0.2">
      <c r="A246" t="s">
        <v>244</v>
      </c>
      <c r="B246" t="s">
        <v>669</v>
      </c>
      <c r="C246" t="s">
        <v>399</v>
      </c>
      <c r="D246" t="s">
        <v>402</v>
      </c>
      <c r="E246" t="s">
        <v>411</v>
      </c>
      <c r="F246" t="s">
        <v>413</v>
      </c>
      <c r="G246">
        <v>101.96098562628337</v>
      </c>
      <c r="H246" t="s">
        <v>419</v>
      </c>
      <c r="J246">
        <v>130</v>
      </c>
      <c r="K246">
        <v>108</v>
      </c>
      <c r="L246">
        <v>115</v>
      </c>
      <c r="M246">
        <v>121</v>
      </c>
      <c r="N246">
        <v>113</v>
      </c>
    </row>
    <row r="247" spans="1:14" x14ac:dyDescent="0.2">
      <c r="A247" t="s">
        <v>245</v>
      </c>
      <c r="B247" t="s">
        <v>670</v>
      </c>
      <c r="C247" t="s">
        <v>399</v>
      </c>
      <c r="D247" t="s">
        <v>402</v>
      </c>
      <c r="E247" t="s">
        <v>410</v>
      </c>
      <c r="F247" t="s">
        <v>413</v>
      </c>
      <c r="G247">
        <v>159.14989733059548</v>
      </c>
      <c r="H247" t="s">
        <v>419</v>
      </c>
      <c r="J247">
        <v>80</v>
      </c>
      <c r="K247">
        <v>84</v>
      </c>
      <c r="L247">
        <v>94</v>
      </c>
      <c r="M247">
        <v>83</v>
      </c>
      <c r="N247">
        <v>88</v>
      </c>
    </row>
    <row r="248" spans="1:14" x14ac:dyDescent="0.2">
      <c r="A248" t="s">
        <v>246</v>
      </c>
      <c r="B248" t="s">
        <v>671</v>
      </c>
      <c r="C248" t="s">
        <v>399</v>
      </c>
      <c r="D248" t="s">
        <v>402</v>
      </c>
      <c r="E248" t="s">
        <v>410</v>
      </c>
      <c r="F248" t="s">
        <v>414</v>
      </c>
      <c r="G248">
        <v>206.85420944558521</v>
      </c>
      <c r="H248" t="s">
        <v>418</v>
      </c>
      <c r="J248">
        <v>106</v>
      </c>
      <c r="K248">
        <v>106</v>
      </c>
      <c r="L248">
        <v>113</v>
      </c>
      <c r="M248">
        <v>109</v>
      </c>
      <c r="N248">
        <v>110</v>
      </c>
    </row>
    <row r="249" spans="1:14" x14ac:dyDescent="0.2">
      <c r="A249" t="s">
        <v>247</v>
      </c>
      <c r="B249" t="s">
        <v>672</v>
      </c>
      <c r="C249" t="s">
        <v>399</v>
      </c>
      <c r="D249" t="s">
        <v>402</v>
      </c>
      <c r="E249" t="s">
        <v>410</v>
      </c>
      <c r="F249" t="s">
        <v>414</v>
      </c>
      <c r="G249">
        <v>145.85420944558521</v>
      </c>
      <c r="H249" t="s">
        <v>418</v>
      </c>
      <c r="J249">
        <v>110</v>
      </c>
      <c r="K249">
        <v>104</v>
      </c>
      <c r="L249">
        <v>108</v>
      </c>
      <c r="M249">
        <v>109</v>
      </c>
      <c r="N249">
        <v>107</v>
      </c>
    </row>
    <row r="250" spans="1:14" x14ac:dyDescent="0.2">
      <c r="A250" t="s">
        <v>248</v>
      </c>
      <c r="B250" t="s">
        <v>673</v>
      </c>
      <c r="C250" t="s">
        <v>399</v>
      </c>
      <c r="D250" t="s">
        <v>402</v>
      </c>
      <c r="E250" t="s">
        <v>410</v>
      </c>
      <c r="F250" t="s">
        <v>413</v>
      </c>
      <c r="G250">
        <v>202.83983572895278</v>
      </c>
      <c r="H250" t="s">
        <v>418</v>
      </c>
      <c r="J250">
        <v>73</v>
      </c>
      <c r="K250">
        <v>93</v>
      </c>
      <c r="L250">
        <v>107</v>
      </c>
      <c r="M250">
        <v>89</v>
      </c>
      <c r="N250">
        <v>100</v>
      </c>
    </row>
    <row r="251" spans="1:14" x14ac:dyDescent="0.2">
      <c r="A251" t="s">
        <v>249</v>
      </c>
      <c r="B251" t="s">
        <v>674</v>
      </c>
      <c r="C251" t="s">
        <v>399</v>
      </c>
      <c r="D251" t="s">
        <v>402</v>
      </c>
      <c r="E251" t="s">
        <v>411</v>
      </c>
      <c r="F251" t="s">
        <v>414</v>
      </c>
      <c r="G251">
        <v>170.01848049281315</v>
      </c>
      <c r="H251" t="s">
        <v>418</v>
      </c>
      <c r="J251">
        <v>126</v>
      </c>
      <c r="K251">
        <v>100</v>
      </c>
      <c r="L251">
        <v>108</v>
      </c>
      <c r="M251">
        <v>105</v>
      </c>
      <c r="N251">
        <v>113</v>
      </c>
    </row>
    <row r="252" spans="1:14" x14ac:dyDescent="0.2">
      <c r="A252" t="s">
        <v>250</v>
      </c>
      <c r="B252" t="s">
        <v>675</v>
      </c>
      <c r="C252" t="s">
        <v>399</v>
      </c>
      <c r="D252" t="s">
        <v>405</v>
      </c>
      <c r="E252" t="s">
        <v>411</v>
      </c>
      <c r="F252" t="s">
        <v>414</v>
      </c>
      <c r="G252">
        <v>206.55852156057495</v>
      </c>
      <c r="H252" t="s">
        <v>419</v>
      </c>
      <c r="J252">
        <v>138</v>
      </c>
      <c r="K252">
        <v>119</v>
      </c>
      <c r="L252">
        <v>122</v>
      </c>
      <c r="M252">
        <v>133</v>
      </c>
      <c r="N252">
        <v>123</v>
      </c>
    </row>
    <row r="253" spans="1:14" x14ac:dyDescent="0.2">
      <c r="A253" t="s">
        <v>251</v>
      </c>
      <c r="B253" t="s">
        <v>676</v>
      </c>
      <c r="C253" t="s">
        <v>399</v>
      </c>
      <c r="D253" t="s">
        <v>405</v>
      </c>
      <c r="E253" t="s">
        <v>411</v>
      </c>
      <c r="F253" t="s">
        <v>414</v>
      </c>
      <c r="G253">
        <v>186.55852156057495</v>
      </c>
      <c r="H253" t="s">
        <v>419</v>
      </c>
      <c r="J253">
        <v>130</v>
      </c>
      <c r="K253">
        <v>138</v>
      </c>
      <c r="L253">
        <v>107</v>
      </c>
      <c r="M253">
        <v>132</v>
      </c>
      <c r="N253">
        <v>125</v>
      </c>
    </row>
    <row r="254" spans="1:14" x14ac:dyDescent="0.2">
      <c r="A254" t="s">
        <v>252</v>
      </c>
      <c r="B254" t="s">
        <v>677</v>
      </c>
      <c r="C254" t="s">
        <v>399</v>
      </c>
      <c r="D254" t="s">
        <v>402</v>
      </c>
      <c r="E254" t="s">
        <v>411</v>
      </c>
      <c r="F254" t="s">
        <v>414</v>
      </c>
      <c r="G254">
        <v>133.28952000000001</v>
      </c>
      <c r="H254" t="s">
        <v>418</v>
      </c>
      <c r="J254">
        <v>103</v>
      </c>
      <c r="K254">
        <v>97</v>
      </c>
      <c r="L254">
        <v>89</v>
      </c>
      <c r="M254">
        <v>96</v>
      </c>
      <c r="N254">
        <v>93</v>
      </c>
    </row>
    <row r="255" spans="1:14" x14ac:dyDescent="0.2">
      <c r="A255" t="s">
        <v>253</v>
      </c>
      <c r="B255" t="s">
        <v>678</v>
      </c>
      <c r="C255" t="s">
        <v>399</v>
      </c>
      <c r="D255" t="s">
        <v>402</v>
      </c>
      <c r="E255" t="s">
        <v>411</v>
      </c>
      <c r="F255" t="s">
        <v>414</v>
      </c>
      <c r="G255">
        <v>114.14989733059548</v>
      </c>
      <c r="H255" t="s">
        <v>419</v>
      </c>
      <c r="J255">
        <v>113</v>
      </c>
      <c r="K255">
        <v>91</v>
      </c>
      <c r="L255">
        <v>110</v>
      </c>
      <c r="M255">
        <v>105</v>
      </c>
      <c r="N255">
        <v>100</v>
      </c>
    </row>
    <row r="256" spans="1:14" x14ac:dyDescent="0.2">
      <c r="A256" t="s">
        <v>254</v>
      </c>
      <c r="B256" t="s">
        <v>679</v>
      </c>
      <c r="C256" t="s">
        <v>399</v>
      </c>
      <c r="D256" t="s">
        <v>403</v>
      </c>
      <c r="E256" t="s">
        <v>410</v>
      </c>
      <c r="F256" t="s">
        <v>414</v>
      </c>
      <c r="G256">
        <v>123.98562628336755</v>
      </c>
      <c r="H256" t="s">
        <v>419</v>
      </c>
      <c r="J256">
        <v>131</v>
      </c>
      <c r="K256">
        <v>100</v>
      </c>
      <c r="L256">
        <v>85</v>
      </c>
      <c r="M256">
        <v>106</v>
      </c>
      <c r="N256">
        <v>92</v>
      </c>
    </row>
    <row r="257" spans="1:14" x14ac:dyDescent="0.2">
      <c r="A257" t="s">
        <v>255</v>
      </c>
      <c r="B257" t="s">
        <v>680</v>
      </c>
      <c r="C257" t="s">
        <v>399</v>
      </c>
      <c r="D257" t="s">
        <v>402</v>
      </c>
      <c r="E257" t="s">
        <v>411</v>
      </c>
      <c r="F257" t="s">
        <v>414</v>
      </c>
      <c r="G257">
        <v>103.90965092402465</v>
      </c>
      <c r="H257" t="s">
        <v>418</v>
      </c>
      <c r="J257">
        <v>103</v>
      </c>
      <c r="K257">
        <v>109</v>
      </c>
      <c r="L257">
        <v>98</v>
      </c>
      <c r="M257">
        <v>104</v>
      </c>
      <c r="N257">
        <v>104</v>
      </c>
    </row>
    <row r="258" spans="1:14" x14ac:dyDescent="0.2">
      <c r="A258" t="s">
        <v>256</v>
      </c>
      <c r="B258" t="s">
        <v>681</v>
      </c>
      <c r="C258" t="s">
        <v>399</v>
      </c>
      <c r="D258" t="s">
        <v>402</v>
      </c>
      <c r="E258" t="s">
        <v>411</v>
      </c>
      <c r="F258" t="s">
        <v>414</v>
      </c>
      <c r="G258">
        <v>215.52566735112936</v>
      </c>
      <c r="H258" t="s">
        <v>419</v>
      </c>
      <c r="J258">
        <v>93</v>
      </c>
      <c r="K258">
        <v>103</v>
      </c>
      <c r="L258">
        <v>103</v>
      </c>
      <c r="M258">
        <v>100</v>
      </c>
      <c r="N258">
        <v>104</v>
      </c>
    </row>
    <row r="259" spans="1:14" x14ac:dyDescent="0.2">
      <c r="A259" t="s">
        <v>257</v>
      </c>
      <c r="B259" t="s">
        <v>682</v>
      </c>
      <c r="C259" t="s">
        <v>399</v>
      </c>
      <c r="D259" t="s">
        <v>402</v>
      </c>
      <c r="E259" t="s">
        <v>410</v>
      </c>
      <c r="F259" t="s">
        <v>413</v>
      </c>
      <c r="G259">
        <v>174.52977412731005</v>
      </c>
      <c r="H259" t="s">
        <v>419</v>
      </c>
      <c r="J259">
        <v>116</v>
      </c>
      <c r="K259">
        <v>103</v>
      </c>
      <c r="L259">
        <v>88</v>
      </c>
      <c r="M259">
        <v>103</v>
      </c>
      <c r="N259">
        <v>95</v>
      </c>
    </row>
    <row r="260" spans="1:14" x14ac:dyDescent="0.2">
      <c r="A260" t="s">
        <v>258</v>
      </c>
      <c r="B260" t="s">
        <v>683</v>
      </c>
      <c r="C260" t="s">
        <v>399</v>
      </c>
      <c r="D260" t="s">
        <v>403</v>
      </c>
      <c r="E260" t="s">
        <v>411</v>
      </c>
      <c r="F260" t="s">
        <v>414</v>
      </c>
      <c r="G260">
        <v>175.32854209445586</v>
      </c>
      <c r="H260" t="s">
        <v>419</v>
      </c>
      <c r="J260">
        <v>105</v>
      </c>
      <c r="K260">
        <v>89</v>
      </c>
      <c r="L260">
        <v>103</v>
      </c>
      <c r="M260">
        <v>98</v>
      </c>
      <c r="N260">
        <v>95</v>
      </c>
    </row>
    <row r="261" spans="1:14" x14ac:dyDescent="0.2">
      <c r="A261" t="s">
        <v>259</v>
      </c>
      <c r="B261" t="s">
        <v>684</v>
      </c>
      <c r="C261" t="s">
        <v>399</v>
      </c>
      <c r="D261" t="s">
        <v>402</v>
      </c>
      <c r="E261" t="s">
        <v>411</v>
      </c>
      <c r="F261" t="s">
        <v>414</v>
      </c>
      <c r="G261">
        <v>107.22997946611909</v>
      </c>
      <c r="H261" t="s">
        <v>418</v>
      </c>
      <c r="J261">
        <v>110</v>
      </c>
      <c r="K261">
        <v>92</v>
      </c>
      <c r="L261">
        <v>97</v>
      </c>
      <c r="M261">
        <v>100</v>
      </c>
      <c r="N261">
        <v>94</v>
      </c>
    </row>
    <row r="262" spans="1:14" x14ac:dyDescent="0.2">
      <c r="A262" t="s">
        <v>260</v>
      </c>
      <c r="B262" t="s">
        <v>685</v>
      </c>
      <c r="C262" t="s">
        <v>399</v>
      </c>
      <c r="D262" t="s">
        <v>402</v>
      </c>
      <c r="E262" t="s">
        <v>411</v>
      </c>
      <c r="F262" t="s">
        <v>414</v>
      </c>
      <c r="G262">
        <v>167.06570841889118</v>
      </c>
      <c r="H262" t="s">
        <v>418</v>
      </c>
      <c r="J262">
        <v>110</v>
      </c>
      <c r="K262">
        <v>112</v>
      </c>
      <c r="L262">
        <v>107</v>
      </c>
      <c r="M262">
        <v>112</v>
      </c>
      <c r="N262">
        <v>111</v>
      </c>
    </row>
    <row r="263" spans="1:14" x14ac:dyDescent="0.2">
      <c r="A263" t="s">
        <v>261</v>
      </c>
      <c r="B263" t="s">
        <v>686</v>
      </c>
      <c r="C263" t="s">
        <v>399</v>
      </c>
      <c r="D263" t="s">
        <v>402</v>
      </c>
      <c r="E263" t="s">
        <v>411</v>
      </c>
      <c r="F263" t="s">
        <v>414</v>
      </c>
      <c r="G263">
        <v>117.11704312114989</v>
      </c>
      <c r="H263" t="s">
        <v>419</v>
      </c>
      <c r="J263">
        <v>87</v>
      </c>
      <c r="K263">
        <v>103</v>
      </c>
      <c r="L263">
        <v>115</v>
      </c>
      <c r="M263">
        <v>102</v>
      </c>
      <c r="N263">
        <v>110</v>
      </c>
    </row>
    <row r="264" spans="1:14" x14ac:dyDescent="0.2">
      <c r="A264" t="s">
        <v>262</v>
      </c>
      <c r="B264" t="s">
        <v>687</v>
      </c>
      <c r="C264" t="s">
        <v>399</v>
      </c>
      <c r="D264" t="s">
        <v>402</v>
      </c>
      <c r="E264" t="s">
        <v>411</v>
      </c>
      <c r="F264" t="s">
        <v>414</v>
      </c>
      <c r="G264">
        <v>99.117043121149891</v>
      </c>
      <c r="H264" t="s">
        <v>419</v>
      </c>
      <c r="J264">
        <v>97</v>
      </c>
      <c r="K264">
        <v>83</v>
      </c>
      <c r="L264">
        <v>103</v>
      </c>
      <c r="M264">
        <v>93</v>
      </c>
      <c r="N264">
        <v>92</v>
      </c>
    </row>
    <row r="265" spans="1:14" x14ac:dyDescent="0.2">
      <c r="A265" t="s">
        <v>263</v>
      </c>
      <c r="B265" t="s">
        <v>688</v>
      </c>
      <c r="C265" t="s">
        <v>399</v>
      </c>
      <c r="D265" t="s">
        <v>402</v>
      </c>
      <c r="E265" t="s">
        <v>410</v>
      </c>
      <c r="F265" t="s">
        <v>413</v>
      </c>
      <c r="G265">
        <v>111.63864</v>
      </c>
      <c r="H265" t="s">
        <v>418</v>
      </c>
      <c r="J265">
        <v>101</v>
      </c>
      <c r="K265">
        <v>88</v>
      </c>
      <c r="L265">
        <v>107</v>
      </c>
      <c r="M265">
        <v>98</v>
      </c>
      <c r="N265">
        <v>96</v>
      </c>
    </row>
    <row r="266" spans="1:14" x14ac:dyDescent="0.2">
      <c r="A266" t="s">
        <v>264</v>
      </c>
      <c r="B266" t="s">
        <v>689</v>
      </c>
      <c r="C266" t="s">
        <v>399</v>
      </c>
      <c r="D266" t="s">
        <v>405</v>
      </c>
      <c r="E266" t="s">
        <v>410</v>
      </c>
      <c r="F266" t="s">
        <v>414</v>
      </c>
      <c r="G266">
        <v>206.90965092402465</v>
      </c>
      <c r="H266" t="s">
        <v>418</v>
      </c>
      <c r="J266">
        <v>133</v>
      </c>
      <c r="K266">
        <v>116</v>
      </c>
      <c r="L266">
        <v>120</v>
      </c>
      <c r="M266">
        <v>129</v>
      </c>
      <c r="N266">
        <v>120</v>
      </c>
    </row>
    <row r="267" spans="1:14" x14ac:dyDescent="0.2">
      <c r="A267" t="s">
        <v>265</v>
      </c>
      <c r="B267" t="s">
        <v>690</v>
      </c>
      <c r="C267" t="s">
        <v>399</v>
      </c>
      <c r="D267" t="s">
        <v>404</v>
      </c>
      <c r="E267" t="s">
        <v>411</v>
      </c>
      <c r="F267" t="s">
        <v>414</v>
      </c>
      <c r="G267">
        <v>204.8870636550308</v>
      </c>
      <c r="H267" t="s">
        <v>419</v>
      </c>
      <c r="J267">
        <v>121</v>
      </c>
      <c r="K267">
        <v>101</v>
      </c>
      <c r="L267">
        <v>106</v>
      </c>
      <c r="M267">
        <v>111</v>
      </c>
      <c r="N267">
        <v>104</v>
      </c>
    </row>
    <row r="268" spans="1:14" x14ac:dyDescent="0.2">
      <c r="A268" t="s">
        <v>266</v>
      </c>
      <c r="B268" t="s">
        <v>691</v>
      </c>
      <c r="C268" t="s">
        <v>399</v>
      </c>
      <c r="D268" t="s">
        <v>402</v>
      </c>
      <c r="E268" t="s">
        <v>411</v>
      </c>
      <c r="F268" t="s">
        <v>413</v>
      </c>
      <c r="G268">
        <v>98.299794661190958</v>
      </c>
      <c r="H268" t="s">
        <v>418</v>
      </c>
      <c r="J268">
        <v>88</v>
      </c>
      <c r="K268">
        <v>92</v>
      </c>
      <c r="L268">
        <v>94</v>
      </c>
      <c r="M268">
        <v>89</v>
      </c>
      <c r="N268">
        <v>92</v>
      </c>
    </row>
    <row r="269" spans="1:14" x14ac:dyDescent="0.2">
      <c r="A269" t="s">
        <v>267</v>
      </c>
      <c r="B269" t="s">
        <v>692</v>
      </c>
      <c r="C269" t="s">
        <v>399</v>
      </c>
      <c r="D269" t="s">
        <v>402</v>
      </c>
      <c r="E269" t="s">
        <v>411</v>
      </c>
      <c r="F269" t="s">
        <v>415</v>
      </c>
      <c r="G269">
        <v>110.29979466119096</v>
      </c>
      <c r="H269" t="s">
        <v>418</v>
      </c>
      <c r="J269">
        <v>106</v>
      </c>
      <c r="K269">
        <v>114</v>
      </c>
      <c r="L269">
        <v>99</v>
      </c>
      <c r="M269">
        <v>107</v>
      </c>
      <c r="N269">
        <v>108</v>
      </c>
    </row>
    <row r="270" spans="1:14" x14ac:dyDescent="0.2">
      <c r="A270" t="s">
        <v>268</v>
      </c>
      <c r="B270" t="s">
        <v>693</v>
      </c>
      <c r="C270" t="s">
        <v>399</v>
      </c>
      <c r="D270" t="s">
        <v>402</v>
      </c>
      <c r="E270" t="s">
        <v>411</v>
      </c>
      <c r="F270" t="s">
        <v>413</v>
      </c>
      <c r="G270">
        <v>169.14989733059548</v>
      </c>
      <c r="H270" t="s">
        <v>419</v>
      </c>
      <c r="J270">
        <v>92</v>
      </c>
      <c r="K270">
        <v>85</v>
      </c>
      <c r="L270">
        <v>80</v>
      </c>
      <c r="M270">
        <v>83</v>
      </c>
      <c r="N270">
        <v>81</v>
      </c>
    </row>
    <row r="271" spans="1:14" x14ac:dyDescent="0.2">
      <c r="A271" t="s">
        <v>269</v>
      </c>
      <c r="B271" t="s">
        <v>694</v>
      </c>
      <c r="C271" t="s">
        <v>399</v>
      </c>
      <c r="D271" t="s">
        <v>404</v>
      </c>
      <c r="E271" t="s">
        <v>410</v>
      </c>
      <c r="F271" t="s">
        <v>413</v>
      </c>
      <c r="G271">
        <v>115.77823408624229</v>
      </c>
      <c r="H271" t="s">
        <v>418</v>
      </c>
      <c r="J271">
        <v>103</v>
      </c>
      <c r="K271">
        <v>88</v>
      </c>
      <c r="L271">
        <v>100</v>
      </c>
      <c r="M271">
        <v>96</v>
      </c>
      <c r="N271">
        <v>93</v>
      </c>
    </row>
    <row r="272" spans="1:14" x14ac:dyDescent="0.2">
      <c r="A272" t="s">
        <v>270</v>
      </c>
      <c r="B272" t="s">
        <v>695</v>
      </c>
      <c r="C272" t="s">
        <v>399</v>
      </c>
      <c r="D272" t="s">
        <v>404</v>
      </c>
      <c r="E272" t="s">
        <v>410</v>
      </c>
      <c r="F272" t="s">
        <v>413</v>
      </c>
      <c r="G272">
        <v>192.06365503080082</v>
      </c>
      <c r="H272" t="s">
        <v>418</v>
      </c>
      <c r="J272">
        <v>81</v>
      </c>
      <c r="K272">
        <v>84</v>
      </c>
      <c r="L272">
        <v>95</v>
      </c>
      <c r="M272">
        <v>84</v>
      </c>
      <c r="N272">
        <v>89</v>
      </c>
    </row>
    <row r="273" spans="1:14" x14ac:dyDescent="0.2">
      <c r="A273" t="s">
        <v>271</v>
      </c>
      <c r="B273" t="s">
        <v>696</v>
      </c>
      <c r="C273" t="s">
        <v>399</v>
      </c>
      <c r="D273" t="s">
        <v>402</v>
      </c>
      <c r="E273" t="s">
        <v>411</v>
      </c>
      <c r="F273" t="s">
        <v>414</v>
      </c>
      <c r="G273">
        <v>204.22997946611909</v>
      </c>
      <c r="H273" t="s">
        <v>418</v>
      </c>
      <c r="J273">
        <v>120</v>
      </c>
      <c r="K273">
        <v>100</v>
      </c>
      <c r="L273">
        <v>101</v>
      </c>
      <c r="M273">
        <v>107</v>
      </c>
      <c r="N273">
        <v>101</v>
      </c>
    </row>
    <row r="274" spans="1:14" x14ac:dyDescent="0.2">
      <c r="A274" t="s">
        <v>272</v>
      </c>
      <c r="B274" t="s">
        <v>697</v>
      </c>
      <c r="C274" t="s">
        <v>399</v>
      </c>
      <c r="D274" t="s">
        <v>403</v>
      </c>
      <c r="E274" t="s">
        <v>411</v>
      </c>
      <c r="F274" t="s">
        <v>413</v>
      </c>
      <c r="G274">
        <v>131.5482546201232</v>
      </c>
      <c r="H274" t="s">
        <v>418</v>
      </c>
      <c r="J274">
        <v>83</v>
      </c>
      <c r="K274">
        <v>85</v>
      </c>
      <c r="L274">
        <v>58</v>
      </c>
      <c r="M274">
        <v>72</v>
      </c>
      <c r="N274">
        <v>69</v>
      </c>
    </row>
    <row r="275" spans="1:14" x14ac:dyDescent="0.2">
      <c r="A275" t="s">
        <v>273</v>
      </c>
      <c r="B275" t="s">
        <v>698</v>
      </c>
      <c r="C275" t="s">
        <v>399</v>
      </c>
      <c r="D275" t="s">
        <v>402</v>
      </c>
      <c r="E275" t="s">
        <v>410</v>
      </c>
      <c r="F275" t="s">
        <v>414</v>
      </c>
      <c r="G275">
        <v>132.49281314168377</v>
      </c>
      <c r="H275" t="s">
        <v>418</v>
      </c>
      <c r="J275">
        <v>112</v>
      </c>
      <c r="K275">
        <v>94</v>
      </c>
      <c r="L275">
        <v>117</v>
      </c>
      <c r="M275">
        <v>109</v>
      </c>
      <c r="N275">
        <v>106</v>
      </c>
    </row>
    <row r="276" spans="1:14" x14ac:dyDescent="0.2">
      <c r="A276" t="s">
        <v>274</v>
      </c>
      <c r="B276" t="s">
        <v>699</v>
      </c>
      <c r="C276" t="s">
        <v>399</v>
      </c>
      <c r="D276" t="s">
        <v>402</v>
      </c>
      <c r="E276" t="s">
        <v>411</v>
      </c>
      <c r="F276" t="s">
        <v>414</v>
      </c>
      <c r="G276">
        <v>192.29568788501027</v>
      </c>
      <c r="H276" t="s">
        <v>418</v>
      </c>
      <c r="J276">
        <v>136</v>
      </c>
      <c r="K276">
        <v>108</v>
      </c>
      <c r="L276">
        <v>125</v>
      </c>
      <c r="M276">
        <v>128</v>
      </c>
      <c r="N276">
        <v>118</v>
      </c>
    </row>
    <row r="277" spans="1:14" x14ac:dyDescent="0.2">
      <c r="A277" t="s">
        <v>275</v>
      </c>
      <c r="B277" t="s">
        <v>700</v>
      </c>
      <c r="C277" t="s">
        <v>399</v>
      </c>
      <c r="D277" t="s">
        <v>402</v>
      </c>
      <c r="E277" t="s">
        <v>411</v>
      </c>
      <c r="F277" t="s">
        <v>414</v>
      </c>
      <c r="G277">
        <v>204.13141683778235</v>
      </c>
      <c r="H277" t="s">
        <v>418</v>
      </c>
      <c r="J277">
        <v>143</v>
      </c>
      <c r="K277">
        <v>143</v>
      </c>
      <c r="L277">
        <v>126</v>
      </c>
      <c r="M277">
        <v>147</v>
      </c>
      <c r="N277">
        <v>139</v>
      </c>
    </row>
    <row r="278" spans="1:14" x14ac:dyDescent="0.2">
      <c r="A278" t="s">
        <v>276</v>
      </c>
      <c r="B278" t="s">
        <v>701</v>
      </c>
      <c r="C278" t="s">
        <v>399</v>
      </c>
      <c r="D278" t="s">
        <v>402</v>
      </c>
      <c r="E278" t="s">
        <v>410</v>
      </c>
      <c r="F278" t="s">
        <v>414</v>
      </c>
      <c r="G278">
        <v>192</v>
      </c>
      <c r="H278" t="s">
        <v>418</v>
      </c>
      <c r="J278">
        <v>119</v>
      </c>
      <c r="K278">
        <v>103</v>
      </c>
      <c r="L278">
        <v>122</v>
      </c>
      <c r="M278">
        <v>117</v>
      </c>
      <c r="N278">
        <v>114</v>
      </c>
    </row>
    <row r="279" spans="1:14" x14ac:dyDescent="0.2">
      <c r="A279" t="s">
        <v>277</v>
      </c>
      <c r="B279" t="s">
        <v>702</v>
      </c>
      <c r="C279" t="s">
        <v>399</v>
      </c>
      <c r="D279" t="s">
        <v>404</v>
      </c>
      <c r="E279" t="s">
        <v>411</v>
      </c>
      <c r="F279" t="s">
        <v>414</v>
      </c>
      <c r="G279">
        <v>192.03285420944559</v>
      </c>
      <c r="H279" t="s">
        <v>418</v>
      </c>
      <c r="J279">
        <v>140</v>
      </c>
      <c r="K279">
        <v>104</v>
      </c>
      <c r="L279">
        <v>113</v>
      </c>
      <c r="M279">
        <v>123</v>
      </c>
      <c r="N279">
        <v>109</v>
      </c>
    </row>
    <row r="280" spans="1:14" x14ac:dyDescent="0.2">
      <c r="A280" t="s">
        <v>278</v>
      </c>
      <c r="B280" t="s">
        <v>703</v>
      </c>
      <c r="C280" t="s">
        <v>399</v>
      </c>
      <c r="D280" t="s">
        <v>403</v>
      </c>
      <c r="E280" t="s">
        <v>411</v>
      </c>
      <c r="F280" t="s">
        <v>414</v>
      </c>
      <c r="G280">
        <v>204.03285420944559</v>
      </c>
      <c r="H280" t="s">
        <v>419</v>
      </c>
      <c r="J280">
        <v>104</v>
      </c>
      <c r="K280">
        <v>96</v>
      </c>
      <c r="L280">
        <v>88</v>
      </c>
      <c r="M280">
        <v>95</v>
      </c>
      <c r="N280">
        <v>91</v>
      </c>
    </row>
    <row r="281" spans="1:14" x14ac:dyDescent="0.2">
      <c r="A281" t="s">
        <v>279</v>
      </c>
      <c r="B281" t="s">
        <v>704</v>
      </c>
      <c r="C281" t="s">
        <v>399</v>
      </c>
      <c r="D281" t="s">
        <v>402</v>
      </c>
      <c r="E281" t="s">
        <v>411</v>
      </c>
      <c r="F281" t="s">
        <v>413</v>
      </c>
      <c r="G281">
        <v>124.0082135523614</v>
      </c>
      <c r="H281" t="s">
        <v>419</v>
      </c>
      <c r="J281">
        <v>99</v>
      </c>
      <c r="K281">
        <v>75</v>
      </c>
      <c r="L281">
        <v>87</v>
      </c>
      <c r="M281">
        <v>84</v>
      </c>
      <c r="N281">
        <v>79</v>
      </c>
    </row>
    <row r="282" spans="1:14" x14ac:dyDescent="0.2">
      <c r="A282" t="s">
        <v>280</v>
      </c>
      <c r="B282" t="s">
        <v>705</v>
      </c>
      <c r="C282" t="s">
        <v>399</v>
      </c>
      <c r="D282" t="s">
        <v>402</v>
      </c>
      <c r="E282" t="s">
        <v>411</v>
      </c>
      <c r="F282" t="s">
        <v>413</v>
      </c>
      <c r="G282">
        <v>214.95687885010267</v>
      </c>
      <c r="H282" t="s">
        <v>418</v>
      </c>
      <c r="J282">
        <v>100</v>
      </c>
      <c r="K282">
        <v>95</v>
      </c>
      <c r="L282">
        <v>86</v>
      </c>
      <c r="M282">
        <v>92</v>
      </c>
      <c r="N282">
        <v>89</v>
      </c>
    </row>
    <row r="283" spans="1:14" x14ac:dyDescent="0.2">
      <c r="A283" t="s">
        <v>281</v>
      </c>
      <c r="B283" t="s">
        <v>706</v>
      </c>
      <c r="C283" t="s">
        <v>399</v>
      </c>
      <c r="D283" t="s">
        <v>402</v>
      </c>
      <c r="E283" t="s">
        <v>411</v>
      </c>
      <c r="F283" t="s">
        <v>415</v>
      </c>
      <c r="G283">
        <v>193.95687885010267</v>
      </c>
      <c r="H283" t="s">
        <v>419</v>
      </c>
      <c r="J283">
        <v>97</v>
      </c>
      <c r="K283">
        <v>88</v>
      </c>
      <c r="L283">
        <v>104</v>
      </c>
      <c r="M283">
        <v>95</v>
      </c>
      <c r="N283">
        <v>95</v>
      </c>
    </row>
    <row r="284" spans="1:14" x14ac:dyDescent="0.2">
      <c r="A284" t="s">
        <v>282</v>
      </c>
      <c r="B284" t="s">
        <v>707</v>
      </c>
      <c r="C284" t="s">
        <v>399</v>
      </c>
      <c r="D284" t="s">
        <v>402</v>
      </c>
      <c r="E284" t="s">
        <v>410</v>
      </c>
      <c r="F284" t="s">
        <v>413</v>
      </c>
      <c r="G284">
        <v>128.81108829568788</v>
      </c>
      <c r="H284" t="s">
        <v>419</v>
      </c>
      <c r="J284">
        <v>108</v>
      </c>
      <c r="K284">
        <v>98</v>
      </c>
      <c r="L284">
        <v>100</v>
      </c>
      <c r="M284">
        <v>102</v>
      </c>
      <c r="N284">
        <v>999</v>
      </c>
    </row>
    <row r="285" spans="1:14" x14ac:dyDescent="0.2">
      <c r="A285" t="s">
        <v>283</v>
      </c>
      <c r="B285" t="s">
        <v>708</v>
      </c>
      <c r="C285" t="s">
        <v>399</v>
      </c>
      <c r="D285" t="s">
        <v>402</v>
      </c>
      <c r="E285" t="s">
        <v>410</v>
      </c>
      <c r="F285" t="s">
        <v>415</v>
      </c>
      <c r="G285">
        <v>156.81108829568788</v>
      </c>
      <c r="H285" t="s">
        <v>418</v>
      </c>
      <c r="J285">
        <v>123</v>
      </c>
      <c r="K285">
        <v>124</v>
      </c>
      <c r="L285">
        <v>127</v>
      </c>
      <c r="M285">
        <v>131</v>
      </c>
      <c r="N285">
        <v>129</v>
      </c>
    </row>
    <row r="286" spans="1:14" x14ac:dyDescent="0.2">
      <c r="A286" t="s">
        <v>284</v>
      </c>
      <c r="B286" t="s">
        <v>709</v>
      </c>
      <c r="C286" t="s">
        <v>399</v>
      </c>
      <c r="D286" t="s">
        <v>403</v>
      </c>
      <c r="E286" t="s">
        <v>411</v>
      </c>
      <c r="F286" t="s">
        <v>414</v>
      </c>
      <c r="G286">
        <v>204.20123203285422</v>
      </c>
      <c r="H286" t="s">
        <v>419</v>
      </c>
      <c r="J286">
        <v>97</v>
      </c>
      <c r="K286">
        <v>93</v>
      </c>
      <c r="L286">
        <v>106</v>
      </c>
      <c r="M286">
        <v>98</v>
      </c>
      <c r="N286">
        <v>99</v>
      </c>
    </row>
    <row r="287" spans="1:14" x14ac:dyDescent="0.2">
      <c r="A287" t="s">
        <v>285</v>
      </c>
      <c r="B287" t="s">
        <v>710</v>
      </c>
      <c r="C287" t="s">
        <v>399</v>
      </c>
      <c r="D287" t="s">
        <v>402</v>
      </c>
      <c r="E287" t="s">
        <v>410</v>
      </c>
      <c r="F287" t="s">
        <v>414</v>
      </c>
      <c r="G287">
        <v>200.48254620123203</v>
      </c>
      <c r="H287" t="s">
        <v>419</v>
      </c>
      <c r="J287">
        <v>101</v>
      </c>
      <c r="K287">
        <v>120</v>
      </c>
      <c r="L287">
        <v>112</v>
      </c>
      <c r="M287">
        <v>113</v>
      </c>
      <c r="N287">
        <v>118</v>
      </c>
    </row>
    <row r="288" spans="1:14" x14ac:dyDescent="0.2">
      <c r="A288" t="s">
        <v>286</v>
      </c>
      <c r="B288" t="s">
        <v>711</v>
      </c>
      <c r="C288" t="s">
        <v>399</v>
      </c>
      <c r="D288" t="s">
        <v>403</v>
      </c>
      <c r="E288" t="s">
        <v>410</v>
      </c>
      <c r="F288" t="s">
        <v>414</v>
      </c>
      <c r="G288">
        <v>183.80698151950719</v>
      </c>
      <c r="H288" t="s">
        <v>418</v>
      </c>
      <c r="J288">
        <v>88</v>
      </c>
      <c r="K288">
        <v>99</v>
      </c>
      <c r="L288">
        <v>103</v>
      </c>
      <c r="M288">
        <v>96</v>
      </c>
      <c r="N288">
        <v>999</v>
      </c>
    </row>
    <row r="289" spans="1:14" x14ac:dyDescent="0.2">
      <c r="A289" t="s">
        <v>287</v>
      </c>
      <c r="B289" t="s">
        <v>712</v>
      </c>
      <c r="C289" t="s">
        <v>399</v>
      </c>
      <c r="D289" t="s">
        <v>402</v>
      </c>
      <c r="E289" t="s">
        <v>410</v>
      </c>
      <c r="F289" t="s">
        <v>413</v>
      </c>
      <c r="G289">
        <v>128.20123203285422</v>
      </c>
      <c r="H289" t="s">
        <v>419</v>
      </c>
      <c r="J289">
        <v>63</v>
      </c>
      <c r="K289">
        <v>82</v>
      </c>
      <c r="L289">
        <v>77</v>
      </c>
      <c r="M289">
        <v>71</v>
      </c>
      <c r="N289">
        <v>77</v>
      </c>
    </row>
    <row r="290" spans="1:14" x14ac:dyDescent="0.2">
      <c r="A290" t="s">
        <v>288</v>
      </c>
      <c r="B290" t="s">
        <v>713</v>
      </c>
      <c r="C290" t="s">
        <v>399</v>
      </c>
      <c r="D290" t="s">
        <v>402</v>
      </c>
      <c r="E290" t="s">
        <v>411</v>
      </c>
      <c r="F290" t="s">
        <v>414</v>
      </c>
      <c r="G290">
        <v>189.10677618069815</v>
      </c>
      <c r="H290" t="s">
        <v>419</v>
      </c>
      <c r="J290">
        <v>89</v>
      </c>
      <c r="K290">
        <v>83</v>
      </c>
      <c r="L290">
        <v>91</v>
      </c>
      <c r="M290">
        <v>85</v>
      </c>
      <c r="N290">
        <v>85</v>
      </c>
    </row>
    <row r="291" spans="1:14" x14ac:dyDescent="0.2">
      <c r="A291" t="s">
        <v>289</v>
      </c>
      <c r="B291" t="s">
        <v>714</v>
      </c>
      <c r="C291" t="s">
        <v>399</v>
      </c>
      <c r="D291" t="s">
        <v>405</v>
      </c>
      <c r="E291" t="s">
        <v>410</v>
      </c>
      <c r="F291" t="s">
        <v>414</v>
      </c>
      <c r="G291">
        <v>111.92402464065708</v>
      </c>
      <c r="H291" t="s">
        <v>418</v>
      </c>
      <c r="J291">
        <v>135</v>
      </c>
      <c r="K291">
        <v>123</v>
      </c>
      <c r="L291">
        <v>109</v>
      </c>
      <c r="M291">
        <v>128</v>
      </c>
      <c r="N291">
        <v>119</v>
      </c>
    </row>
    <row r="292" spans="1:14" x14ac:dyDescent="0.2">
      <c r="A292" t="s">
        <v>290</v>
      </c>
      <c r="B292" t="s">
        <v>715</v>
      </c>
      <c r="C292" t="s">
        <v>399</v>
      </c>
      <c r="D292" t="s">
        <v>405</v>
      </c>
      <c r="E292" t="s">
        <v>410</v>
      </c>
      <c r="F292" t="s">
        <v>414</v>
      </c>
      <c r="G292">
        <v>211.34702258726898</v>
      </c>
      <c r="H292" t="s">
        <v>419</v>
      </c>
      <c r="J292">
        <v>112</v>
      </c>
      <c r="K292">
        <v>111</v>
      </c>
      <c r="L292">
        <v>115</v>
      </c>
      <c r="M292">
        <v>115</v>
      </c>
      <c r="N292">
        <v>115</v>
      </c>
    </row>
    <row r="293" spans="1:14" x14ac:dyDescent="0.2">
      <c r="A293" t="s">
        <v>291</v>
      </c>
      <c r="B293" t="s">
        <v>716</v>
      </c>
      <c r="C293" t="s">
        <v>399</v>
      </c>
      <c r="D293" t="s">
        <v>405</v>
      </c>
      <c r="E293" t="s">
        <v>410</v>
      </c>
      <c r="F293" t="s">
        <v>414</v>
      </c>
      <c r="G293">
        <v>169.34702258726898</v>
      </c>
      <c r="H293" t="s">
        <v>419</v>
      </c>
      <c r="J293">
        <v>91</v>
      </c>
      <c r="K293">
        <v>124</v>
      </c>
      <c r="L293">
        <v>109</v>
      </c>
      <c r="M293">
        <v>110</v>
      </c>
      <c r="N293">
        <v>119</v>
      </c>
    </row>
    <row r="294" spans="1:14" x14ac:dyDescent="0.2">
      <c r="A294" t="s">
        <v>292</v>
      </c>
      <c r="B294" t="s">
        <v>717</v>
      </c>
      <c r="C294" t="s">
        <v>399</v>
      </c>
      <c r="D294" t="s">
        <v>404</v>
      </c>
      <c r="E294" t="s">
        <v>411</v>
      </c>
      <c r="F294" t="s">
        <v>414</v>
      </c>
      <c r="G294">
        <v>99.379876796714584</v>
      </c>
      <c r="H294" t="s">
        <v>419</v>
      </c>
      <c r="J294">
        <v>108</v>
      </c>
      <c r="K294">
        <v>103</v>
      </c>
      <c r="L294">
        <v>101</v>
      </c>
      <c r="M294">
        <v>104</v>
      </c>
      <c r="N294">
        <v>103</v>
      </c>
    </row>
    <row r="295" spans="1:14" x14ac:dyDescent="0.2">
      <c r="A295" t="s">
        <v>293</v>
      </c>
      <c r="B295" t="s">
        <v>718</v>
      </c>
      <c r="C295" t="s">
        <v>399</v>
      </c>
      <c r="D295" t="s">
        <v>402</v>
      </c>
      <c r="E295" t="s">
        <v>411</v>
      </c>
      <c r="F295" t="s">
        <v>413</v>
      </c>
      <c r="G295">
        <v>117.53388090349075</v>
      </c>
      <c r="H295" t="s">
        <v>418</v>
      </c>
      <c r="J295">
        <v>108</v>
      </c>
      <c r="K295">
        <v>103</v>
      </c>
      <c r="L295">
        <v>92</v>
      </c>
      <c r="M295">
        <v>101</v>
      </c>
      <c r="N295">
        <v>98</v>
      </c>
    </row>
    <row r="296" spans="1:14" x14ac:dyDescent="0.2">
      <c r="A296" t="s">
        <v>294</v>
      </c>
      <c r="B296" t="s">
        <v>719</v>
      </c>
      <c r="C296" t="s">
        <v>399</v>
      </c>
      <c r="D296" t="s">
        <v>402</v>
      </c>
      <c r="E296" t="s">
        <v>411</v>
      </c>
      <c r="F296" t="s">
        <v>415</v>
      </c>
      <c r="G296">
        <v>149.53388090349077</v>
      </c>
      <c r="H296" t="s">
        <v>418</v>
      </c>
      <c r="J296">
        <v>120</v>
      </c>
      <c r="K296">
        <v>107</v>
      </c>
      <c r="L296">
        <v>123</v>
      </c>
      <c r="M296">
        <v>119</v>
      </c>
      <c r="N296">
        <v>116</v>
      </c>
    </row>
    <row r="297" spans="1:14" x14ac:dyDescent="0.2">
      <c r="A297" t="s">
        <v>295</v>
      </c>
      <c r="B297" t="s">
        <v>720</v>
      </c>
      <c r="C297" t="s">
        <v>399</v>
      </c>
      <c r="D297" t="s">
        <v>402</v>
      </c>
      <c r="E297" t="s">
        <v>411</v>
      </c>
      <c r="F297" t="s">
        <v>415</v>
      </c>
      <c r="G297">
        <v>100.16427104722793</v>
      </c>
      <c r="H297" t="s">
        <v>418</v>
      </c>
      <c r="J297">
        <v>107</v>
      </c>
      <c r="K297">
        <v>97</v>
      </c>
      <c r="L297">
        <v>96</v>
      </c>
      <c r="M297">
        <v>100</v>
      </c>
      <c r="N297">
        <v>96</v>
      </c>
    </row>
    <row r="298" spans="1:14" x14ac:dyDescent="0.2">
      <c r="A298" t="s">
        <v>296</v>
      </c>
      <c r="B298" t="s">
        <v>721</v>
      </c>
      <c r="C298" t="s">
        <v>399</v>
      </c>
      <c r="D298" t="s">
        <v>402</v>
      </c>
      <c r="E298" t="s">
        <v>411</v>
      </c>
      <c r="F298" t="s">
        <v>414</v>
      </c>
      <c r="G298">
        <v>111.8870636550308</v>
      </c>
      <c r="H298" t="s">
        <v>419</v>
      </c>
      <c r="J298">
        <v>119</v>
      </c>
      <c r="K298">
        <v>115</v>
      </c>
      <c r="L298">
        <v>111</v>
      </c>
      <c r="M298">
        <v>117</v>
      </c>
      <c r="N298">
        <v>999</v>
      </c>
    </row>
    <row r="299" spans="1:14" x14ac:dyDescent="0.2">
      <c r="A299" t="s">
        <v>297</v>
      </c>
      <c r="B299" t="s">
        <v>722</v>
      </c>
      <c r="C299" t="s">
        <v>399</v>
      </c>
      <c r="D299" t="s">
        <v>402</v>
      </c>
      <c r="E299" t="s">
        <v>410</v>
      </c>
      <c r="F299" t="s">
        <v>413</v>
      </c>
      <c r="G299">
        <v>201.10677618069815</v>
      </c>
      <c r="H299" t="s">
        <v>419</v>
      </c>
      <c r="J299">
        <v>119</v>
      </c>
      <c r="K299">
        <v>123</v>
      </c>
      <c r="L299">
        <v>97</v>
      </c>
      <c r="M299">
        <v>116</v>
      </c>
      <c r="N299">
        <v>112</v>
      </c>
    </row>
    <row r="300" spans="1:14" x14ac:dyDescent="0.2">
      <c r="A300" t="s">
        <v>298</v>
      </c>
      <c r="B300" t="s">
        <v>723</v>
      </c>
      <c r="C300" t="s">
        <v>399</v>
      </c>
      <c r="D300" t="s">
        <v>402</v>
      </c>
      <c r="E300" t="s">
        <v>410</v>
      </c>
      <c r="F300" t="s">
        <v>413</v>
      </c>
      <c r="G300">
        <v>101.48254620123203</v>
      </c>
      <c r="H300" t="s">
        <v>419</v>
      </c>
      <c r="J300">
        <v>91</v>
      </c>
      <c r="K300">
        <v>128</v>
      </c>
      <c r="L300">
        <v>120</v>
      </c>
      <c r="M300">
        <v>116</v>
      </c>
      <c r="N300">
        <v>127</v>
      </c>
    </row>
    <row r="301" spans="1:14" x14ac:dyDescent="0.2">
      <c r="A301" t="s">
        <v>299</v>
      </c>
      <c r="B301" t="s">
        <v>724</v>
      </c>
      <c r="C301" t="s">
        <v>399</v>
      </c>
      <c r="D301" t="s">
        <v>402</v>
      </c>
      <c r="E301" t="s">
        <v>411</v>
      </c>
      <c r="F301" t="s">
        <v>414</v>
      </c>
      <c r="G301">
        <v>120.01848049281314</v>
      </c>
      <c r="H301" t="s">
        <v>418</v>
      </c>
      <c r="J301">
        <v>86</v>
      </c>
      <c r="K301">
        <v>95</v>
      </c>
      <c r="L301">
        <v>104</v>
      </c>
      <c r="M301">
        <v>94</v>
      </c>
      <c r="N301">
        <v>99</v>
      </c>
    </row>
    <row r="302" spans="1:14" x14ac:dyDescent="0.2">
      <c r="A302" t="s">
        <v>300</v>
      </c>
      <c r="B302" t="s">
        <v>725</v>
      </c>
      <c r="C302" t="s">
        <v>399</v>
      </c>
      <c r="D302" t="s">
        <v>404</v>
      </c>
      <c r="E302" t="s">
        <v>410</v>
      </c>
      <c r="F302" t="s">
        <v>414</v>
      </c>
      <c r="G302">
        <v>151.59958932238192</v>
      </c>
      <c r="H302" t="s">
        <v>418</v>
      </c>
      <c r="J302">
        <v>128</v>
      </c>
      <c r="K302">
        <v>115</v>
      </c>
      <c r="L302">
        <v>119</v>
      </c>
      <c r="M302">
        <v>125</v>
      </c>
      <c r="N302">
        <v>119</v>
      </c>
    </row>
    <row r="303" spans="1:14" x14ac:dyDescent="0.2">
      <c r="A303" t="s">
        <v>301</v>
      </c>
      <c r="B303" t="s">
        <v>726</v>
      </c>
      <c r="C303" t="s">
        <v>399</v>
      </c>
      <c r="D303" t="s">
        <v>402</v>
      </c>
      <c r="E303" t="s">
        <v>411</v>
      </c>
      <c r="F303" t="s">
        <v>413</v>
      </c>
      <c r="G303">
        <v>164.10266940451746</v>
      </c>
      <c r="H303" t="s">
        <v>419</v>
      </c>
      <c r="J303">
        <v>103</v>
      </c>
      <c r="K303">
        <v>90</v>
      </c>
      <c r="L303">
        <v>91</v>
      </c>
      <c r="M303">
        <v>93</v>
      </c>
      <c r="N303">
        <v>999</v>
      </c>
    </row>
    <row r="304" spans="1:14" x14ac:dyDescent="0.2">
      <c r="A304" t="s">
        <v>302</v>
      </c>
      <c r="B304" t="s">
        <v>727</v>
      </c>
      <c r="C304" t="s">
        <v>399</v>
      </c>
      <c r="D304" t="s">
        <v>402</v>
      </c>
      <c r="E304" t="s">
        <v>410</v>
      </c>
      <c r="F304" t="s">
        <v>414</v>
      </c>
      <c r="G304">
        <v>149.9712525667351</v>
      </c>
      <c r="H304" t="s">
        <v>418</v>
      </c>
      <c r="J304">
        <v>93</v>
      </c>
      <c r="K304">
        <v>118</v>
      </c>
      <c r="L304">
        <v>105</v>
      </c>
      <c r="M304">
        <v>106</v>
      </c>
      <c r="N304">
        <v>113</v>
      </c>
    </row>
    <row r="305" spans="1:14" x14ac:dyDescent="0.2">
      <c r="A305" t="s">
        <v>303</v>
      </c>
      <c r="B305" t="s">
        <v>728</v>
      </c>
      <c r="C305" t="s">
        <v>399</v>
      </c>
      <c r="D305" t="s">
        <v>402</v>
      </c>
      <c r="E305" t="s">
        <v>411</v>
      </c>
      <c r="F305" t="s">
        <v>414</v>
      </c>
      <c r="G305">
        <v>157.29979466119096</v>
      </c>
      <c r="H305" t="s">
        <v>418</v>
      </c>
      <c r="J305">
        <v>80</v>
      </c>
      <c r="K305">
        <v>93</v>
      </c>
      <c r="L305">
        <v>132</v>
      </c>
      <c r="M305">
        <v>101</v>
      </c>
      <c r="N305">
        <v>113</v>
      </c>
    </row>
    <row r="306" spans="1:14" x14ac:dyDescent="0.2">
      <c r="A306" t="s">
        <v>304</v>
      </c>
      <c r="B306" t="s">
        <v>729</v>
      </c>
      <c r="C306" t="s">
        <v>399</v>
      </c>
      <c r="D306" t="s">
        <v>402</v>
      </c>
      <c r="E306" t="s">
        <v>411</v>
      </c>
      <c r="F306" t="s">
        <v>414</v>
      </c>
      <c r="G306">
        <v>124.29979466119096</v>
      </c>
      <c r="H306" t="s">
        <v>419</v>
      </c>
      <c r="J306">
        <v>93</v>
      </c>
      <c r="K306">
        <v>104</v>
      </c>
      <c r="L306">
        <v>123</v>
      </c>
      <c r="M306">
        <v>108</v>
      </c>
      <c r="N306">
        <v>115</v>
      </c>
    </row>
    <row r="307" spans="1:14" x14ac:dyDescent="0.2">
      <c r="A307" t="s">
        <v>305</v>
      </c>
      <c r="B307" t="s">
        <v>730</v>
      </c>
      <c r="C307" t="s">
        <v>399</v>
      </c>
      <c r="D307" t="s">
        <v>402</v>
      </c>
      <c r="E307" t="s">
        <v>411</v>
      </c>
      <c r="F307" t="s">
        <v>413</v>
      </c>
      <c r="G307">
        <v>211.33264887063655</v>
      </c>
      <c r="H307" t="s">
        <v>419</v>
      </c>
      <c r="J307">
        <v>99</v>
      </c>
      <c r="K307">
        <v>119</v>
      </c>
      <c r="L307">
        <v>107</v>
      </c>
      <c r="M307">
        <v>110</v>
      </c>
      <c r="N307">
        <v>115</v>
      </c>
    </row>
    <row r="308" spans="1:14" x14ac:dyDescent="0.2">
      <c r="A308" t="s">
        <v>306</v>
      </c>
      <c r="B308" t="s">
        <v>731</v>
      </c>
      <c r="C308" t="s">
        <v>399</v>
      </c>
      <c r="D308" t="s">
        <v>402</v>
      </c>
      <c r="E308" t="s">
        <v>411</v>
      </c>
      <c r="F308" t="s">
        <v>413</v>
      </c>
      <c r="G308">
        <v>171.33264887063655</v>
      </c>
      <c r="H308" t="s">
        <v>418</v>
      </c>
      <c r="J308">
        <v>152</v>
      </c>
      <c r="K308">
        <v>129</v>
      </c>
      <c r="L308">
        <v>113</v>
      </c>
      <c r="M308">
        <v>139</v>
      </c>
      <c r="N308">
        <v>124</v>
      </c>
    </row>
    <row r="309" spans="1:14" x14ac:dyDescent="0.2">
      <c r="A309" t="s">
        <v>307</v>
      </c>
      <c r="B309" t="s">
        <v>732</v>
      </c>
      <c r="C309" t="s">
        <v>399</v>
      </c>
      <c r="D309" t="s">
        <v>402</v>
      </c>
      <c r="E309" t="s">
        <v>410</v>
      </c>
      <c r="F309" t="s">
        <v>414</v>
      </c>
      <c r="G309">
        <v>114.60985626283367</v>
      </c>
      <c r="H309" t="s">
        <v>418</v>
      </c>
      <c r="J309">
        <v>113</v>
      </c>
      <c r="K309">
        <v>138</v>
      </c>
      <c r="L309">
        <v>148</v>
      </c>
      <c r="M309">
        <v>141</v>
      </c>
      <c r="N309">
        <v>148</v>
      </c>
    </row>
    <row r="310" spans="1:14" x14ac:dyDescent="0.2">
      <c r="A310" t="s">
        <v>308</v>
      </c>
      <c r="B310" t="s">
        <v>733</v>
      </c>
      <c r="C310" t="s">
        <v>399</v>
      </c>
      <c r="D310" t="s">
        <v>404</v>
      </c>
      <c r="E310" t="s">
        <v>410</v>
      </c>
      <c r="F310" t="s">
        <v>413</v>
      </c>
      <c r="G310">
        <v>204.70841889117042</v>
      </c>
      <c r="H310" t="s">
        <v>418</v>
      </c>
      <c r="J310">
        <v>120</v>
      </c>
      <c r="K310">
        <v>117</v>
      </c>
      <c r="L310">
        <v>110</v>
      </c>
      <c r="M310">
        <v>118</v>
      </c>
      <c r="N310">
        <v>115</v>
      </c>
    </row>
    <row r="311" spans="1:14" x14ac:dyDescent="0.2">
      <c r="A311" t="s">
        <v>309</v>
      </c>
      <c r="B311" t="s">
        <v>734</v>
      </c>
      <c r="C311" t="s">
        <v>399</v>
      </c>
      <c r="D311" t="s">
        <v>404</v>
      </c>
      <c r="E311" t="s">
        <v>410</v>
      </c>
      <c r="F311" t="s">
        <v>415</v>
      </c>
      <c r="G311">
        <v>154.70841889117042</v>
      </c>
      <c r="H311" t="s">
        <v>419</v>
      </c>
      <c r="J311">
        <v>109</v>
      </c>
      <c r="K311">
        <v>83</v>
      </c>
      <c r="L311">
        <v>93</v>
      </c>
      <c r="M311">
        <v>93</v>
      </c>
      <c r="N311">
        <v>86</v>
      </c>
    </row>
    <row r="312" spans="1:14" x14ac:dyDescent="0.2">
      <c r="A312" t="s">
        <v>310</v>
      </c>
      <c r="B312" t="s">
        <v>735</v>
      </c>
      <c r="C312" t="s">
        <v>399</v>
      </c>
      <c r="D312" t="s">
        <v>405</v>
      </c>
      <c r="E312" t="s">
        <v>410</v>
      </c>
      <c r="F312" t="s">
        <v>414</v>
      </c>
      <c r="G312">
        <v>159.70428000000001</v>
      </c>
      <c r="H312" t="s">
        <v>418</v>
      </c>
      <c r="J312">
        <v>115</v>
      </c>
      <c r="K312">
        <v>114</v>
      </c>
      <c r="L312">
        <v>142</v>
      </c>
      <c r="M312">
        <v>129</v>
      </c>
      <c r="N312">
        <v>130</v>
      </c>
    </row>
    <row r="313" spans="1:14" x14ac:dyDescent="0.2">
      <c r="A313" t="s">
        <v>311</v>
      </c>
      <c r="B313" t="s">
        <v>736</v>
      </c>
      <c r="C313" t="s">
        <v>400</v>
      </c>
      <c r="D313" t="s">
        <v>402</v>
      </c>
      <c r="E313" t="s">
        <v>410</v>
      </c>
      <c r="F313" t="s">
        <v>414</v>
      </c>
      <c r="G313">
        <v>163</v>
      </c>
      <c r="H313" t="s">
        <v>418</v>
      </c>
      <c r="J313">
        <v>109</v>
      </c>
      <c r="K313">
        <v>120</v>
      </c>
      <c r="L313">
        <v>115</v>
      </c>
      <c r="M313">
        <v>118</v>
      </c>
      <c r="N313">
        <v>119</v>
      </c>
    </row>
    <row r="314" spans="1:14" x14ac:dyDescent="0.2">
      <c r="A314" t="s">
        <v>312</v>
      </c>
      <c r="B314" t="s">
        <v>737</v>
      </c>
      <c r="C314" t="s">
        <v>400</v>
      </c>
      <c r="D314" t="s">
        <v>402</v>
      </c>
      <c r="E314" t="s">
        <v>410</v>
      </c>
      <c r="F314" t="s">
        <v>413</v>
      </c>
      <c r="G314">
        <v>102.18275154004107</v>
      </c>
      <c r="H314" t="s">
        <v>419</v>
      </c>
      <c r="J314">
        <v>101</v>
      </c>
      <c r="K314">
        <v>84</v>
      </c>
      <c r="L314">
        <v>89</v>
      </c>
      <c r="M314">
        <v>89</v>
      </c>
      <c r="N314">
        <v>85</v>
      </c>
    </row>
    <row r="315" spans="1:14" x14ac:dyDescent="0.2">
      <c r="A315" t="s">
        <v>313</v>
      </c>
      <c r="B315" t="s">
        <v>738</v>
      </c>
      <c r="C315" t="s">
        <v>400</v>
      </c>
      <c r="D315" t="s">
        <v>402</v>
      </c>
      <c r="E315" t="s">
        <v>410</v>
      </c>
      <c r="F315" t="s">
        <v>415</v>
      </c>
      <c r="G315">
        <v>162.18275154004107</v>
      </c>
      <c r="H315" t="s">
        <v>419</v>
      </c>
      <c r="J315">
        <v>134</v>
      </c>
      <c r="K315">
        <v>114</v>
      </c>
      <c r="L315">
        <v>113</v>
      </c>
      <c r="M315">
        <v>125</v>
      </c>
      <c r="N315">
        <v>115</v>
      </c>
    </row>
    <row r="316" spans="1:14" x14ac:dyDescent="0.2">
      <c r="A316" t="s">
        <v>314</v>
      </c>
      <c r="B316" t="s">
        <v>739</v>
      </c>
      <c r="C316" t="s">
        <v>400</v>
      </c>
      <c r="D316" t="s">
        <v>402</v>
      </c>
      <c r="E316" t="s">
        <v>411</v>
      </c>
      <c r="F316" t="s">
        <v>414</v>
      </c>
      <c r="G316">
        <v>187.82135523613962</v>
      </c>
      <c r="H316" t="s">
        <v>419</v>
      </c>
      <c r="J316">
        <v>92</v>
      </c>
      <c r="K316">
        <v>90</v>
      </c>
      <c r="L316">
        <v>90</v>
      </c>
      <c r="M316">
        <v>89</v>
      </c>
      <c r="N316">
        <v>89</v>
      </c>
    </row>
    <row r="317" spans="1:14" x14ac:dyDescent="0.2">
      <c r="A317" t="s">
        <v>315</v>
      </c>
      <c r="B317" t="s">
        <v>740</v>
      </c>
      <c r="C317" t="s">
        <v>400</v>
      </c>
      <c r="D317" t="s">
        <v>402</v>
      </c>
      <c r="E317" t="s">
        <v>411</v>
      </c>
      <c r="F317" t="s">
        <v>414</v>
      </c>
      <c r="G317">
        <v>157</v>
      </c>
      <c r="H317" t="s">
        <v>418</v>
      </c>
      <c r="J317">
        <v>87</v>
      </c>
      <c r="K317">
        <v>92</v>
      </c>
      <c r="L317">
        <v>95</v>
      </c>
      <c r="M317">
        <v>89</v>
      </c>
      <c r="N317">
        <v>93</v>
      </c>
    </row>
    <row r="318" spans="1:14" x14ac:dyDescent="0.2">
      <c r="A318" t="s">
        <v>316</v>
      </c>
      <c r="B318" t="s">
        <v>741</v>
      </c>
      <c r="C318" t="s">
        <v>400</v>
      </c>
      <c r="D318" t="s">
        <v>403</v>
      </c>
      <c r="E318" t="s">
        <v>410</v>
      </c>
      <c r="F318" t="s">
        <v>414</v>
      </c>
      <c r="G318">
        <v>140</v>
      </c>
      <c r="H318" t="s">
        <v>419</v>
      </c>
      <c r="J318">
        <v>99</v>
      </c>
      <c r="K318">
        <v>115</v>
      </c>
      <c r="L318">
        <v>104</v>
      </c>
      <c r="M318">
        <v>107</v>
      </c>
      <c r="N318">
        <v>111</v>
      </c>
    </row>
    <row r="319" spans="1:14" x14ac:dyDescent="0.2">
      <c r="A319" t="s">
        <v>317</v>
      </c>
      <c r="B319" t="s">
        <v>742</v>
      </c>
      <c r="C319" t="s">
        <v>400</v>
      </c>
      <c r="D319" t="s">
        <v>402</v>
      </c>
      <c r="E319" t="s">
        <v>410</v>
      </c>
      <c r="F319" t="s">
        <v>414</v>
      </c>
      <c r="G319">
        <v>209</v>
      </c>
      <c r="H319" t="s">
        <v>419</v>
      </c>
      <c r="J319">
        <v>109</v>
      </c>
      <c r="K319">
        <v>92</v>
      </c>
      <c r="L319">
        <v>120</v>
      </c>
      <c r="M319">
        <v>107</v>
      </c>
      <c r="N319">
        <v>106</v>
      </c>
    </row>
    <row r="320" spans="1:14" x14ac:dyDescent="0.2">
      <c r="A320" t="s">
        <v>318</v>
      </c>
      <c r="B320" t="s">
        <v>743</v>
      </c>
      <c r="C320" t="s">
        <v>400</v>
      </c>
      <c r="D320" t="s">
        <v>402</v>
      </c>
      <c r="E320" t="s">
        <v>410</v>
      </c>
      <c r="F320" t="s">
        <v>414</v>
      </c>
      <c r="G320">
        <v>187.06570841889118</v>
      </c>
      <c r="H320" t="s">
        <v>419</v>
      </c>
      <c r="J320">
        <v>105</v>
      </c>
      <c r="K320">
        <v>111</v>
      </c>
      <c r="L320">
        <v>120</v>
      </c>
      <c r="M320">
        <v>114</v>
      </c>
      <c r="N320">
        <v>118</v>
      </c>
    </row>
    <row r="321" spans="1:14" x14ac:dyDescent="0.2">
      <c r="A321" t="s">
        <v>319</v>
      </c>
      <c r="B321" t="s">
        <v>744</v>
      </c>
      <c r="C321" t="s">
        <v>400</v>
      </c>
      <c r="D321" t="s">
        <v>402</v>
      </c>
      <c r="E321" t="s">
        <v>410</v>
      </c>
      <c r="F321" t="s">
        <v>414</v>
      </c>
      <c r="G321">
        <v>202</v>
      </c>
      <c r="H321" t="s">
        <v>418</v>
      </c>
      <c r="J321">
        <v>108</v>
      </c>
      <c r="K321">
        <v>92</v>
      </c>
      <c r="L321">
        <v>108</v>
      </c>
      <c r="M321">
        <v>103</v>
      </c>
      <c r="N321">
        <v>100</v>
      </c>
    </row>
    <row r="322" spans="1:14" x14ac:dyDescent="0.2">
      <c r="A322" t="s">
        <v>320</v>
      </c>
      <c r="B322" t="s">
        <v>745</v>
      </c>
      <c r="C322" t="s">
        <v>400</v>
      </c>
      <c r="D322" t="s">
        <v>403</v>
      </c>
      <c r="E322" t="s">
        <v>410</v>
      </c>
      <c r="F322" t="s">
        <v>414</v>
      </c>
      <c r="G322">
        <v>159</v>
      </c>
      <c r="H322" t="s">
        <v>419</v>
      </c>
      <c r="J322">
        <v>118</v>
      </c>
      <c r="K322">
        <v>105</v>
      </c>
      <c r="L322">
        <v>90</v>
      </c>
      <c r="M322">
        <v>105</v>
      </c>
      <c r="N322">
        <v>98</v>
      </c>
    </row>
    <row r="323" spans="1:14" x14ac:dyDescent="0.2">
      <c r="A323" t="s">
        <v>321</v>
      </c>
      <c r="B323" t="s">
        <v>746</v>
      </c>
      <c r="C323" t="s">
        <v>400</v>
      </c>
      <c r="D323" t="s">
        <v>402</v>
      </c>
      <c r="E323" t="s">
        <v>410</v>
      </c>
      <c r="F323" t="s">
        <v>414</v>
      </c>
      <c r="G323">
        <v>179</v>
      </c>
      <c r="H323" t="s">
        <v>418</v>
      </c>
      <c r="J323">
        <v>123</v>
      </c>
      <c r="K323">
        <v>123</v>
      </c>
      <c r="L323">
        <v>115</v>
      </c>
      <c r="M323">
        <v>125</v>
      </c>
      <c r="N323">
        <v>121</v>
      </c>
    </row>
    <row r="324" spans="1:14" x14ac:dyDescent="0.2">
      <c r="A324" t="s">
        <v>322</v>
      </c>
      <c r="B324" t="s">
        <v>747</v>
      </c>
      <c r="C324" t="s">
        <v>400</v>
      </c>
      <c r="D324" t="s">
        <v>402</v>
      </c>
      <c r="E324" t="s">
        <v>411</v>
      </c>
      <c r="F324" t="s">
        <v>414</v>
      </c>
      <c r="G324">
        <v>193</v>
      </c>
      <c r="H324" t="s">
        <v>418</v>
      </c>
      <c r="J324">
        <v>110</v>
      </c>
      <c r="K324">
        <v>88</v>
      </c>
      <c r="L324">
        <v>81</v>
      </c>
      <c r="M324">
        <v>91</v>
      </c>
      <c r="N324">
        <v>83</v>
      </c>
    </row>
    <row r="325" spans="1:14" x14ac:dyDescent="0.2">
      <c r="A325" t="s">
        <v>323</v>
      </c>
      <c r="B325" t="s">
        <v>748</v>
      </c>
      <c r="C325" t="s">
        <v>400</v>
      </c>
      <c r="D325" t="s">
        <v>402</v>
      </c>
      <c r="E325" t="s">
        <v>406</v>
      </c>
      <c r="F325" t="s">
        <v>414</v>
      </c>
      <c r="G325">
        <v>116</v>
      </c>
      <c r="H325" t="s">
        <v>419</v>
      </c>
      <c r="J325">
        <v>109</v>
      </c>
      <c r="K325">
        <v>115</v>
      </c>
      <c r="L325">
        <v>98</v>
      </c>
      <c r="M325">
        <v>109</v>
      </c>
      <c r="N325">
        <v>108</v>
      </c>
    </row>
    <row r="326" spans="1:14" x14ac:dyDescent="0.2">
      <c r="A326" t="s">
        <v>324</v>
      </c>
      <c r="B326" t="s">
        <v>749</v>
      </c>
      <c r="C326" t="s">
        <v>400</v>
      </c>
      <c r="D326" t="s">
        <v>402</v>
      </c>
      <c r="E326" t="s">
        <v>410</v>
      </c>
      <c r="F326" t="s">
        <v>414</v>
      </c>
      <c r="G326">
        <v>146</v>
      </c>
      <c r="H326" t="s">
        <v>418</v>
      </c>
      <c r="J326">
        <v>110</v>
      </c>
      <c r="K326">
        <v>102</v>
      </c>
      <c r="L326">
        <v>99</v>
      </c>
      <c r="M326">
        <v>104</v>
      </c>
      <c r="N326">
        <v>999</v>
      </c>
    </row>
    <row r="327" spans="1:14" x14ac:dyDescent="0.2">
      <c r="A327" t="s">
        <v>325</v>
      </c>
      <c r="B327" t="s">
        <v>750</v>
      </c>
      <c r="C327" t="s">
        <v>400</v>
      </c>
      <c r="D327" t="s">
        <v>402</v>
      </c>
      <c r="E327" t="s">
        <v>410</v>
      </c>
      <c r="F327" t="s">
        <v>414</v>
      </c>
      <c r="G327">
        <v>118</v>
      </c>
      <c r="H327" t="s">
        <v>419</v>
      </c>
      <c r="J327">
        <v>106</v>
      </c>
      <c r="K327">
        <v>110</v>
      </c>
      <c r="L327">
        <v>129</v>
      </c>
      <c r="M327">
        <v>118</v>
      </c>
      <c r="N327">
        <v>999</v>
      </c>
    </row>
    <row r="328" spans="1:14" x14ac:dyDescent="0.2">
      <c r="A328" t="s">
        <v>326</v>
      </c>
      <c r="B328" t="s">
        <v>751</v>
      </c>
      <c r="C328" t="s">
        <v>400</v>
      </c>
      <c r="D328" t="s">
        <v>402</v>
      </c>
      <c r="E328" t="s">
        <v>410</v>
      </c>
      <c r="F328" t="s">
        <v>414</v>
      </c>
      <c r="G328">
        <v>201</v>
      </c>
      <c r="H328" t="s">
        <v>418</v>
      </c>
      <c r="J328">
        <v>77</v>
      </c>
      <c r="K328">
        <v>98</v>
      </c>
      <c r="L328">
        <v>90</v>
      </c>
      <c r="M328">
        <v>86</v>
      </c>
      <c r="N328">
        <v>94</v>
      </c>
    </row>
    <row r="329" spans="1:14" x14ac:dyDescent="0.2">
      <c r="A329" t="s">
        <v>327</v>
      </c>
      <c r="B329" t="s">
        <v>752</v>
      </c>
      <c r="C329" t="s">
        <v>400</v>
      </c>
      <c r="D329" t="s">
        <v>402</v>
      </c>
      <c r="E329" t="s">
        <v>410</v>
      </c>
      <c r="F329" t="s">
        <v>414</v>
      </c>
      <c r="G329">
        <v>187</v>
      </c>
      <c r="H329" t="s">
        <v>418</v>
      </c>
      <c r="J329">
        <v>74</v>
      </c>
      <c r="K329">
        <v>85</v>
      </c>
      <c r="L329">
        <v>88</v>
      </c>
      <c r="M329">
        <v>79</v>
      </c>
      <c r="N329">
        <v>85</v>
      </c>
    </row>
    <row r="330" spans="1:14" x14ac:dyDescent="0.2">
      <c r="A330" t="s">
        <v>328</v>
      </c>
      <c r="B330" t="s">
        <v>753</v>
      </c>
      <c r="C330" t="s">
        <v>400</v>
      </c>
      <c r="D330" t="s">
        <v>403</v>
      </c>
      <c r="E330" t="s">
        <v>406</v>
      </c>
      <c r="F330" t="s">
        <v>414</v>
      </c>
      <c r="G330">
        <v>214.03285420944559</v>
      </c>
      <c r="H330" t="s">
        <v>419</v>
      </c>
      <c r="J330">
        <v>89</v>
      </c>
      <c r="K330">
        <v>89</v>
      </c>
      <c r="L330">
        <v>68</v>
      </c>
      <c r="M330">
        <v>79</v>
      </c>
      <c r="N330">
        <v>999</v>
      </c>
    </row>
    <row r="331" spans="1:14" x14ac:dyDescent="0.2">
      <c r="A331" t="s">
        <v>329</v>
      </c>
      <c r="B331" t="s">
        <v>754</v>
      </c>
      <c r="C331" t="s">
        <v>400</v>
      </c>
      <c r="D331" t="s">
        <v>402</v>
      </c>
      <c r="E331" t="s">
        <v>410</v>
      </c>
      <c r="F331" t="s">
        <v>414</v>
      </c>
      <c r="G331">
        <v>172</v>
      </c>
      <c r="H331" t="s">
        <v>418</v>
      </c>
      <c r="J331">
        <v>106</v>
      </c>
      <c r="K331">
        <v>114</v>
      </c>
      <c r="L331">
        <v>101</v>
      </c>
      <c r="M331">
        <v>108</v>
      </c>
      <c r="N331">
        <v>999</v>
      </c>
    </row>
    <row r="332" spans="1:14" x14ac:dyDescent="0.2">
      <c r="A332" t="s">
        <v>330</v>
      </c>
      <c r="B332" t="s">
        <v>755</v>
      </c>
      <c r="C332" t="s">
        <v>400</v>
      </c>
      <c r="D332" t="s">
        <v>402</v>
      </c>
      <c r="E332" t="s">
        <v>410</v>
      </c>
      <c r="F332" t="s">
        <v>414</v>
      </c>
      <c r="G332">
        <v>172</v>
      </c>
      <c r="H332" t="s">
        <v>418</v>
      </c>
      <c r="J332">
        <v>86</v>
      </c>
      <c r="K332">
        <v>99</v>
      </c>
      <c r="L332">
        <v>121</v>
      </c>
      <c r="M332">
        <v>102</v>
      </c>
      <c r="N332">
        <v>111</v>
      </c>
    </row>
    <row r="333" spans="1:14" x14ac:dyDescent="0.2">
      <c r="A333" t="s">
        <v>331</v>
      </c>
      <c r="B333" t="s">
        <v>756</v>
      </c>
      <c r="C333" t="s">
        <v>400</v>
      </c>
      <c r="D333" t="s">
        <v>403</v>
      </c>
      <c r="E333" t="s">
        <v>410</v>
      </c>
      <c r="F333" t="s">
        <v>414</v>
      </c>
      <c r="G333">
        <v>123</v>
      </c>
      <c r="H333" t="s">
        <v>418</v>
      </c>
      <c r="J333">
        <v>121</v>
      </c>
      <c r="K333">
        <v>124</v>
      </c>
      <c r="L333">
        <v>126</v>
      </c>
      <c r="M333">
        <v>130</v>
      </c>
      <c r="N333">
        <v>128</v>
      </c>
    </row>
    <row r="334" spans="1:14" x14ac:dyDescent="0.2">
      <c r="A334" t="s">
        <v>332</v>
      </c>
      <c r="B334" t="s">
        <v>757</v>
      </c>
      <c r="C334" t="s">
        <v>400</v>
      </c>
      <c r="D334" t="s">
        <v>403</v>
      </c>
      <c r="E334" t="s">
        <v>410</v>
      </c>
      <c r="F334" t="s">
        <v>414</v>
      </c>
      <c r="G334">
        <v>98</v>
      </c>
      <c r="H334" t="s">
        <v>419</v>
      </c>
      <c r="J334">
        <v>127</v>
      </c>
      <c r="K334">
        <v>107</v>
      </c>
      <c r="L334">
        <v>102</v>
      </c>
      <c r="M334">
        <v>114</v>
      </c>
      <c r="N334">
        <v>106</v>
      </c>
    </row>
    <row r="335" spans="1:14" x14ac:dyDescent="0.2">
      <c r="A335" t="s">
        <v>333</v>
      </c>
      <c r="B335" t="s">
        <v>758</v>
      </c>
      <c r="C335" t="s">
        <v>400</v>
      </c>
      <c r="D335" t="s">
        <v>402</v>
      </c>
      <c r="E335" t="s">
        <v>410</v>
      </c>
      <c r="F335" t="s">
        <v>414</v>
      </c>
      <c r="G335">
        <v>100</v>
      </c>
      <c r="H335" t="s">
        <v>419</v>
      </c>
      <c r="J335">
        <v>126</v>
      </c>
      <c r="K335">
        <v>127</v>
      </c>
      <c r="L335">
        <v>111</v>
      </c>
      <c r="M335">
        <v>127</v>
      </c>
      <c r="N335">
        <v>121</v>
      </c>
    </row>
    <row r="336" spans="1:14" x14ac:dyDescent="0.2">
      <c r="A336" t="s">
        <v>334</v>
      </c>
      <c r="B336" t="s">
        <v>759</v>
      </c>
      <c r="C336" t="s">
        <v>400</v>
      </c>
      <c r="D336" t="s">
        <v>402</v>
      </c>
      <c r="E336" t="s">
        <v>410</v>
      </c>
      <c r="F336" t="s">
        <v>414</v>
      </c>
      <c r="G336">
        <v>178</v>
      </c>
      <c r="H336" t="s">
        <v>419</v>
      </c>
      <c r="J336">
        <v>119</v>
      </c>
      <c r="K336">
        <v>106</v>
      </c>
      <c r="L336">
        <v>95</v>
      </c>
      <c r="M336">
        <v>107</v>
      </c>
      <c r="N336">
        <v>101</v>
      </c>
    </row>
    <row r="337" spans="1:14" x14ac:dyDescent="0.2">
      <c r="A337" t="s">
        <v>335</v>
      </c>
      <c r="B337" t="s">
        <v>760</v>
      </c>
      <c r="C337" t="s">
        <v>400</v>
      </c>
      <c r="D337" t="s">
        <v>402</v>
      </c>
      <c r="E337" t="s">
        <v>410</v>
      </c>
      <c r="F337" t="s">
        <v>414</v>
      </c>
      <c r="G337">
        <v>161</v>
      </c>
      <c r="H337" t="s">
        <v>419</v>
      </c>
      <c r="J337">
        <v>118</v>
      </c>
      <c r="K337">
        <v>112</v>
      </c>
      <c r="L337">
        <v>115</v>
      </c>
      <c r="M337">
        <v>117</v>
      </c>
      <c r="N337">
        <v>115</v>
      </c>
    </row>
    <row r="338" spans="1:14" x14ac:dyDescent="0.2">
      <c r="A338" t="s">
        <v>336</v>
      </c>
      <c r="B338" t="s">
        <v>761</v>
      </c>
      <c r="C338" t="s">
        <v>400</v>
      </c>
      <c r="D338" t="s">
        <v>402</v>
      </c>
      <c r="E338" t="s">
        <v>410</v>
      </c>
      <c r="F338" t="s">
        <v>414</v>
      </c>
      <c r="G338">
        <v>202</v>
      </c>
      <c r="H338" t="s">
        <v>419</v>
      </c>
      <c r="J338">
        <v>132</v>
      </c>
      <c r="K338">
        <v>133</v>
      </c>
      <c r="L338">
        <v>122</v>
      </c>
      <c r="M338">
        <v>136</v>
      </c>
      <c r="N338">
        <v>131</v>
      </c>
    </row>
    <row r="339" spans="1:14" x14ac:dyDescent="0.2">
      <c r="A339" t="s">
        <v>337</v>
      </c>
      <c r="B339" t="s">
        <v>762</v>
      </c>
      <c r="C339" t="s">
        <v>400</v>
      </c>
      <c r="D339" t="s">
        <v>402</v>
      </c>
      <c r="E339" t="s">
        <v>410</v>
      </c>
      <c r="F339" t="s">
        <v>413</v>
      </c>
      <c r="G339">
        <v>201</v>
      </c>
      <c r="H339" t="s">
        <v>419</v>
      </c>
      <c r="J339">
        <v>126</v>
      </c>
      <c r="K339">
        <v>121</v>
      </c>
      <c r="L339">
        <v>139</v>
      </c>
      <c r="M339">
        <v>135</v>
      </c>
      <c r="N339">
        <v>133</v>
      </c>
    </row>
    <row r="340" spans="1:14" x14ac:dyDescent="0.2">
      <c r="A340" t="s">
        <v>338</v>
      </c>
      <c r="B340" t="s">
        <v>763</v>
      </c>
      <c r="C340" t="s">
        <v>400</v>
      </c>
      <c r="D340" t="s">
        <v>402</v>
      </c>
      <c r="E340" t="s">
        <v>410</v>
      </c>
      <c r="F340" t="s">
        <v>413</v>
      </c>
      <c r="G340">
        <v>170</v>
      </c>
      <c r="H340" t="s">
        <v>418</v>
      </c>
      <c r="J340">
        <v>122</v>
      </c>
      <c r="K340">
        <v>104</v>
      </c>
      <c r="L340">
        <v>100</v>
      </c>
      <c r="M340">
        <v>110</v>
      </c>
      <c r="N340">
        <v>103</v>
      </c>
    </row>
    <row r="341" spans="1:14" x14ac:dyDescent="0.2">
      <c r="A341" t="s">
        <v>339</v>
      </c>
      <c r="B341" t="s">
        <v>764</v>
      </c>
      <c r="C341" t="s">
        <v>400</v>
      </c>
      <c r="D341" t="s">
        <v>402</v>
      </c>
      <c r="E341" t="s">
        <v>410</v>
      </c>
      <c r="F341" t="s">
        <v>413</v>
      </c>
      <c r="G341">
        <v>126.31416837782341</v>
      </c>
      <c r="H341" t="s">
        <v>418</v>
      </c>
      <c r="J341">
        <v>128</v>
      </c>
      <c r="K341">
        <v>114</v>
      </c>
      <c r="L341">
        <v>94</v>
      </c>
      <c r="M341">
        <v>114</v>
      </c>
      <c r="N341">
        <v>999</v>
      </c>
    </row>
    <row r="342" spans="1:14" x14ac:dyDescent="0.2">
      <c r="A342" t="s">
        <v>340</v>
      </c>
      <c r="B342" t="s">
        <v>765</v>
      </c>
      <c r="C342" t="s">
        <v>400</v>
      </c>
      <c r="D342" t="s">
        <v>402</v>
      </c>
      <c r="E342" t="s">
        <v>410</v>
      </c>
      <c r="F342" t="s">
        <v>415</v>
      </c>
      <c r="G342">
        <v>100.28131416837782</v>
      </c>
      <c r="H342" t="s">
        <v>419</v>
      </c>
      <c r="J342">
        <v>120</v>
      </c>
      <c r="K342">
        <v>129</v>
      </c>
      <c r="L342">
        <v>106</v>
      </c>
      <c r="M342">
        <v>122</v>
      </c>
      <c r="N342">
        <v>120</v>
      </c>
    </row>
    <row r="343" spans="1:14" x14ac:dyDescent="0.2">
      <c r="A343" t="s">
        <v>341</v>
      </c>
      <c r="B343" t="s">
        <v>766</v>
      </c>
      <c r="C343" t="s">
        <v>400</v>
      </c>
      <c r="D343" t="s">
        <v>404</v>
      </c>
      <c r="E343" t="s">
        <v>410</v>
      </c>
      <c r="F343" t="s">
        <v>413</v>
      </c>
      <c r="G343">
        <v>111.36139630390144</v>
      </c>
      <c r="H343" t="s">
        <v>418</v>
      </c>
      <c r="J343">
        <v>74</v>
      </c>
      <c r="K343">
        <v>82</v>
      </c>
      <c r="L343">
        <v>73</v>
      </c>
      <c r="M343">
        <v>73</v>
      </c>
      <c r="N343">
        <v>75</v>
      </c>
    </row>
    <row r="344" spans="1:14" x14ac:dyDescent="0.2">
      <c r="A344" t="s">
        <v>342</v>
      </c>
      <c r="B344" t="s">
        <v>767</v>
      </c>
      <c r="C344" t="s">
        <v>400</v>
      </c>
      <c r="D344" t="s">
        <v>404</v>
      </c>
      <c r="E344" t="s">
        <v>410</v>
      </c>
      <c r="F344" t="s">
        <v>413</v>
      </c>
      <c r="G344">
        <v>133</v>
      </c>
      <c r="H344" t="s">
        <v>419</v>
      </c>
      <c r="J344">
        <v>103</v>
      </c>
      <c r="K344">
        <v>89</v>
      </c>
      <c r="L344">
        <v>91</v>
      </c>
      <c r="M344">
        <v>92</v>
      </c>
      <c r="N344">
        <v>89</v>
      </c>
    </row>
    <row r="345" spans="1:14" x14ac:dyDescent="0.2">
      <c r="A345" t="s">
        <v>343</v>
      </c>
      <c r="B345" t="s">
        <v>768</v>
      </c>
      <c r="C345" t="s">
        <v>400</v>
      </c>
      <c r="D345" t="s">
        <v>402</v>
      </c>
      <c r="E345" t="s">
        <v>410</v>
      </c>
      <c r="F345" t="s">
        <v>413</v>
      </c>
      <c r="G345">
        <v>125</v>
      </c>
      <c r="H345" t="s">
        <v>419</v>
      </c>
      <c r="J345">
        <v>96</v>
      </c>
      <c r="K345">
        <v>90</v>
      </c>
      <c r="L345">
        <v>107</v>
      </c>
      <c r="M345">
        <v>97</v>
      </c>
      <c r="N345">
        <v>98</v>
      </c>
    </row>
    <row r="346" spans="1:14" x14ac:dyDescent="0.2">
      <c r="A346" t="s">
        <v>344</v>
      </c>
      <c r="B346" t="s">
        <v>769</v>
      </c>
      <c r="C346" t="s">
        <v>400</v>
      </c>
      <c r="D346" t="s">
        <v>402</v>
      </c>
      <c r="E346" t="s">
        <v>410</v>
      </c>
      <c r="F346" t="s">
        <v>415</v>
      </c>
      <c r="G346">
        <v>109.03285420944559</v>
      </c>
      <c r="H346" t="s">
        <v>418</v>
      </c>
      <c r="J346">
        <v>116</v>
      </c>
      <c r="K346">
        <v>95</v>
      </c>
      <c r="L346">
        <v>116</v>
      </c>
      <c r="M346">
        <v>110</v>
      </c>
      <c r="N346">
        <v>106</v>
      </c>
    </row>
    <row r="347" spans="1:14" x14ac:dyDescent="0.2">
      <c r="A347" t="s">
        <v>345</v>
      </c>
      <c r="B347" t="s">
        <v>770</v>
      </c>
      <c r="C347" t="s">
        <v>400</v>
      </c>
      <c r="D347" t="s">
        <v>402</v>
      </c>
      <c r="E347" t="s">
        <v>410</v>
      </c>
      <c r="F347" t="s">
        <v>413</v>
      </c>
      <c r="G347">
        <v>158.3100616016427</v>
      </c>
      <c r="H347" t="s">
        <v>419</v>
      </c>
      <c r="J347">
        <v>109</v>
      </c>
      <c r="K347">
        <v>111</v>
      </c>
      <c r="L347">
        <v>117</v>
      </c>
      <c r="M347">
        <v>115</v>
      </c>
      <c r="N347">
        <v>115</v>
      </c>
    </row>
    <row r="348" spans="1:14" x14ac:dyDescent="0.2">
      <c r="A348" t="s">
        <v>346</v>
      </c>
      <c r="B348" t="s">
        <v>771</v>
      </c>
      <c r="C348" t="s">
        <v>400</v>
      </c>
      <c r="D348" t="s">
        <v>402</v>
      </c>
      <c r="E348" t="s">
        <v>410</v>
      </c>
      <c r="F348" t="s">
        <v>413</v>
      </c>
      <c r="G348">
        <v>168</v>
      </c>
      <c r="H348" t="s">
        <v>419</v>
      </c>
      <c r="J348">
        <v>96</v>
      </c>
      <c r="K348">
        <v>123</v>
      </c>
      <c r="L348">
        <v>100</v>
      </c>
      <c r="M348">
        <v>108</v>
      </c>
      <c r="N348">
        <v>999</v>
      </c>
    </row>
    <row r="349" spans="1:14" x14ac:dyDescent="0.2">
      <c r="A349" t="s">
        <v>347</v>
      </c>
      <c r="B349" t="s">
        <v>772</v>
      </c>
      <c r="C349" t="s">
        <v>400</v>
      </c>
      <c r="D349" t="s">
        <v>402</v>
      </c>
      <c r="E349" t="s">
        <v>410</v>
      </c>
      <c r="F349" t="s">
        <v>413</v>
      </c>
      <c r="G349">
        <v>201.7741273100616</v>
      </c>
      <c r="H349" t="s">
        <v>418</v>
      </c>
      <c r="J349">
        <v>122</v>
      </c>
      <c r="K349">
        <v>112</v>
      </c>
      <c r="L349">
        <v>97</v>
      </c>
      <c r="M349">
        <v>112</v>
      </c>
      <c r="N349">
        <v>999</v>
      </c>
    </row>
    <row r="350" spans="1:14" x14ac:dyDescent="0.2">
      <c r="A350" t="s">
        <v>348</v>
      </c>
      <c r="B350" t="s">
        <v>773</v>
      </c>
      <c r="C350" t="s">
        <v>400</v>
      </c>
      <c r="D350" t="s">
        <v>402</v>
      </c>
      <c r="E350" t="s">
        <v>410</v>
      </c>
      <c r="F350" t="s">
        <v>413</v>
      </c>
      <c r="G350">
        <v>158</v>
      </c>
      <c r="H350" t="s">
        <v>418</v>
      </c>
      <c r="J350">
        <v>96</v>
      </c>
      <c r="K350">
        <v>73</v>
      </c>
      <c r="L350">
        <v>57</v>
      </c>
      <c r="M350">
        <v>72</v>
      </c>
      <c r="N350">
        <v>61</v>
      </c>
    </row>
    <row r="351" spans="1:14" x14ac:dyDescent="0.2">
      <c r="A351" t="s">
        <v>349</v>
      </c>
      <c r="B351" t="s">
        <v>774</v>
      </c>
      <c r="C351" t="s">
        <v>400</v>
      </c>
      <c r="D351" t="s">
        <v>402</v>
      </c>
      <c r="E351" t="s">
        <v>410</v>
      </c>
      <c r="F351" t="s">
        <v>413</v>
      </c>
      <c r="G351">
        <v>137</v>
      </c>
      <c r="H351" t="s">
        <v>419</v>
      </c>
      <c r="J351">
        <v>120</v>
      </c>
      <c r="K351">
        <v>107</v>
      </c>
      <c r="L351">
        <v>94</v>
      </c>
      <c r="M351">
        <v>109</v>
      </c>
      <c r="N351">
        <v>102</v>
      </c>
    </row>
    <row r="352" spans="1:14" x14ac:dyDescent="0.2">
      <c r="A352" t="s">
        <v>350</v>
      </c>
      <c r="B352" t="s">
        <v>775</v>
      </c>
      <c r="C352" t="s">
        <v>400</v>
      </c>
      <c r="D352" t="s">
        <v>405</v>
      </c>
      <c r="E352" t="s">
        <v>410</v>
      </c>
      <c r="F352" t="s">
        <v>413</v>
      </c>
      <c r="G352">
        <v>215.77002053388091</v>
      </c>
      <c r="H352" t="s">
        <v>419</v>
      </c>
      <c r="J352">
        <v>127</v>
      </c>
      <c r="K352">
        <v>115</v>
      </c>
      <c r="L352">
        <v>126</v>
      </c>
      <c r="M352">
        <v>128</v>
      </c>
      <c r="N352">
        <v>122</v>
      </c>
    </row>
    <row r="353" spans="1:14" x14ac:dyDescent="0.2">
      <c r="A353" t="s">
        <v>351</v>
      </c>
      <c r="B353" t="s">
        <v>776</v>
      </c>
      <c r="C353" t="s">
        <v>400</v>
      </c>
      <c r="D353" t="s">
        <v>402</v>
      </c>
      <c r="E353" t="s">
        <v>410</v>
      </c>
      <c r="F353" t="s">
        <v>413</v>
      </c>
      <c r="G353">
        <v>183</v>
      </c>
      <c r="H353" t="s">
        <v>419</v>
      </c>
      <c r="J353">
        <v>98</v>
      </c>
      <c r="K353">
        <v>67</v>
      </c>
      <c r="L353">
        <v>58</v>
      </c>
      <c r="M353">
        <v>71</v>
      </c>
      <c r="N353">
        <v>59</v>
      </c>
    </row>
    <row r="354" spans="1:14" x14ac:dyDescent="0.2">
      <c r="A354" t="s">
        <v>352</v>
      </c>
      <c r="B354" t="s">
        <v>777</v>
      </c>
      <c r="C354" t="s">
        <v>400</v>
      </c>
      <c r="D354" t="s">
        <v>402</v>
      </c>
      <c r="E354" t="s">
        <v>410</v>
      </c>
      <c r="F354" t="s">
        <v>413</v>
      </c>
      <c r="G354">
        <v>162.36139630390144</v>
      </c>
      <c r="H354" t="s">
        <v>418</v>
      </c>
      <c r="J354">
        <v>108</v>
      </c>
      <c r="K354">
        <v>97</v>
      </c>
      <c r="L354">
        <v>100</v>
      </c>
      <c r="M354">
        <v>101</v>
      </c>
      <c r="N354">
        <v>98</v>
      </c>
    </row>
    <row r="355" spans="1:14" x14ac:dyDescent="0.2">
      <c r="A355" t="s">
        <v>353</v>
      </c>
      <c r="B355" t="s">
        <v>778</v>
      </c>
      <c r="C355" t="s">
        <v>400</v>
      </c>
      <c r="D355" t="s">
        <v>402</v>
      </c>
      <c r="E355" t="s">
        <v>410</v>
      </c>
      <c r="F355" t="s">
        <v>413</v>
      </c>
      <c r="G355">
        <v>141.03285420944559</v>
      </c>
      <c r="H355" t="s">
        <v>419</v>
      </c>
      <c r="J355">
        <v>89</v>
      </c>
      <c r="K355">
        <v>89</v>
      </c>
      <c r="L355">
        <v>93</v>
      </c>
      <c r="M355">
        <v>89</v>
      </c>
      <c r="N355">
        <v>90</v>
      </c>
    </row>
    <row r="356" spans="1:14" x14ac:dyDescent="0.2">
      <c r="A356" t="s">
        <v>354</v>
      </c>
      <c r="B356" t="s">
        <v>779</v>
      </c>
      <c r="C356" t="s">
        <v>400</v>
      </c>
      <c r="D356" t="s">
        <v>402</v>
      </c>
      <c r="E356" t="s">
        <v>410</v>
      </c>
      <c r="F356" t="s">
        <v>415</v>
      </c>
      <c r="G356">
        <v>197.03285420944559</v>
      </c>
      <c r="H356" t="s">
        <v>418</v>
      </c>
      <c r="J356">
        <v>128</v>
      </c>
      <c r="K356">
        <v>121</v>
      </c>
      <c r="L356">
        <v>130</v>
      </c>
      <c r="M356">
        <v>133</v>
      </c>
      <c r="N356">
        <v>128</v>
      </c>
    </row>
    <row r="357" spans="1:14" x14ac:dyDescent="0.2">
      <c r="A357" t="s">
        <v>355</v>
      </c>
      <c r="B357" t="s">
        <v>780</v>
      </c>
      <c r="C357" t="s">
        <v>400</v>
      </c>
      <c r="D357" t="s">
        <v>402</v>
      </c>
      <c r="E357" t="s">
        <v>410</v>
      </c>
      <c r="F357" t="s">
        <v>413</v>
      </c>
      <c r="G357">
        <v>159</v>
      </c>
      <c r="H357" t="s">
        <v>419</v>
      </c>
      <c r="J357">
        <v>107</v>
      </c>
      <c r="K357">
        <v>97</v>
      </c>
      <c r="L357">
        <v>93</v>
      </c>
      <c r="M357">
        <v>99</v>
      </c>
      <c r="N357">
        <v>94</v>
      </c>
    </row>
    <row r="358" spans="1:14" x14ac:dyDescent="0.2">
      <c r="A358" t="s">
        <v>356</v>
      </c>
      <c r="B358" t="s">
        <v>781</v>
      </c>
      <c r="C358" t="s">
        <v>400</v>
      </c>
      <c r="D358" t="s">
        <v>402</v>
      </c>
      <c r="E358" t="s">
        <v>410</v>
      </c>
      <c r="F358" t="s">
        <v>415</v>
      </c>
      <c r="G358">
        <v>207</v>
      </c>
      <c r="H358" t="s">
        <v>419</v>
      </c>
      <c r="J358">
        <v>125</v>
      </c>
      <c r="K358">
        <v>119</v>
      </c>
      <c r="L358">
        <v>112</v>
      </c>
      <c r="M358">
        <v>122</v>
      </c>
      <c r="N358">
        <v>999</v>
      </c>
    </row>
    <row r="359" spans="1:14" x14ac:dyDescent="0.2">
      <c r="A359" t="s">
        <v>357</v>
      </c>
      <c r="B359" t="s">
        <v>782</v>
      </c>
      <c r="C359" t="s">
        <v>400</v>
      </c>
      <c r="D359" t="s">
        <v>402</v>
      </c>
      <c r="E359" t="s">
        <v>410</v>
      </c>
      <c r="F359" t="s">
        <v>413</v>
      </c>
      <c r="G359">
        <v>160.13141683778235</v>
      </c>
      <c r="H359" t="s">
        <v>419</v>
      </c>
      <c r="J359">
        <v>109</v>
      </c>
      <c r="K359">
        <v>116</v>
      </c>
      <c r="L359">
        <v>103</v>
      </c>
      <c r="M359">
        <v>112</v>
      </c>
      <c r="N359">
        <v>111</v>
      </c>
    </row>
    <row r="360" spans="1:14" x14ac:dyDescent="0.2">
      <c r="A360" t="s">
        <v>358</v>
      </c>
      <c r="B360" t="s">
        <v>783</v>
      </c>
      <c r="C360" t="s">
        <v>400</v>
      </c>
      <c r="D360" t="s">
        <v>402</v>
      </c>
      <c r="E360" t="s">
        <v>410</v>
      </c>
      <c r="F360" t="s">
        <v>415</v>
      </c>
      <c r="G360">
        <v>160.13141683778235</v>
      </c>
      <c r="H360" t="s">
        <v>418</v>
      </c>
      <c r="J360">
        <v>114</v>
      </c>
      <c r="K360">
        <v>114</v>
      </c>
      <c r="L360">
        <v>107</v>
      </c>
      <c r="M360">
        <v>114</v>
      </c>
      <c r="N360">
        <v>112</v>
      </c>
    </row>
    <row r="361" spans="1:14" x14ac:dyDescent="0.2">
      <c r="A361" t="s">
        <v>359</v>
      </c>
      <c r="B361" t="s">
        <v>784</v>
      </c>
      <c r="C361" t="s">
        <v>400</v>
      </c>
      <c r="D361" t="s">
        <v>402</v>
      </c>
      <c r="E361" t="s">
        <v>410</v>
      </c>
      <c r="F361" t="s">
        <v>413</v>
      </c>
      <c r="G361">
        <v>95.901437371663249</v>
      </c>
      <c r="H361" t="s">
        <v>418</v>
      </c>
      <c r="J361">
        <v>100</v>
      </c>
      <c r="K361">
        <v>94</v>
      </c>
      <c r="L361">
        <v>103</v>
      </c>
      <c r="M361">
        <v>99</v>
      </c>
      <c r="N361">
        <v>999</v>
      </c>
    </row>
    <row r="362" spans="1:14" x14ac:dyDescent="0.2">
      <c r="A362" t="s">
        <v>360</v>
      </c>
      <c r="B362" t="s">
        <v>785</v>
      </c>
      <c r="C362" t="s">
        <v>400</v>
      </c>
      <c r="D362" t="s">
        <v>402</v>
      </c>
      <c r="E362" t="s">
        <v>410</v>
      </c>
      <c r="F362" t="s">
        <v>415</v>
      </c>
      <c r="G362">
        <v>118.90143737166325</v>
      </c>
      <c r="H362" t="s">
        <v>419</v>
      </c>
      <c r="J362">
        <v>118</v>
      </c>
      <c r="K362">
        <v>93</v>
      </c>
      <c r="L362">
        <v>98</v>
      </c>
      <c r="M362">
        <v>103</v>
      </c>
      <c r="N362">
        <v>999</v>
      </c>
    </row>
    <row r="363" spans="1:14" x14ac:dyDescent="0.2">
      <c r="A363" t="s">
        <v>361</v>
      </c>
      <c r="B363" t="s">
        <v>786</v>
      </c>
      <c r="C363" t="s">
        <v>400</v>
      </c>
      <c r="D363" t="s">
        <v>402</v>
      </c>
      <c r="E363" t="s">
        <v>410</v>
      </c>
      <c r="F363" t="s">
        <v>413</v>
      </c>
      <c r="G363">
        <v>161.72279260780289</v>
      </c>
      <c r="H363" t="s">
        <v>418</v>
      </c>
      <c r="J363">
        <v>109</v>
      </c>
      <c r="K363">
        <v>109</v>
      </c>
      <c r="L363">
        <v>94</v>
      </c>
      <c r="M363">
        <v>105</v>
      </c>
      <c r="N363">
        <v>102</v>
      </c>
    </row>
    <row r="364" spans="1:14" x14ac:dyDescent="0.2">
      <c r="A364" t="s">
        <v>362</v>
      </c>
      <c r="B364" t="s">
        <v>787</v>
      </c>
      <c r="C364" t="s">
        <v>400</v>
      </c>
      <c r="D364" t="s">
        <v>402</v>
      </c>
      <c r="E364" t="s">
        <v>410</v>
      </c>
      <c r="F364" t="s">
        <v>415</v>
      </c>
      <c r="G364">
        <v>201</v>
      </c>
      <c r="H364" t="s">
        <v>419</v>
      </c>
      <c r="J364">
        <v>113</v>
      </c>
      <c r="K364">
        <v>147</v>
      </c>
      <c r="L364">
        <v>118</v>
      </c>
      <c r="M364">
        <v>133</v>
      </c>
      <c r="N364">
        <v>999</v>
      </c>
    </row>
    <row r="365" spans="1:14" x14ac:dyDescent="0.2">
      <c r="A365" t="s">
        <v>363</v>
      </c>
      <c r="B365" t="s">
        <v>788</v>
      </c>
      <c r="C365" t="s">
        <v>400</v>
      </c>
      <c r="D365" t="s">
        <v>402</v>
      </c>
      <c r="E365" t="s">
        <v>410</v>
      </c>
      <c r="F365" t="s">
        <v>415</v>
      </c>
      <c r="G365">
        <v>134.42094455852157</v>
      </c>
      <c r="H365" t="s">
        <v>418</v>
      </c>
      <c r="J365">
        <v>106</v>
      </c>
      <c r="K365">
        <v>95</v>
      </c>
      <c r="L365">
        <v>89</v>
      </c>
      <c r="M365">
        <v>96</v>
      </c>
      <c r="N365">
        <v>91</v>
      </c>
    </row>
    <row r="366" spans="1:14" x14ac:dyDescent="0.2">
      <c r="A366" t="s">
        <v>364</v>
      </c>
      <c r="B366" t="s">
        <v>789</v>
      </c>
      <c r="C366" t="s">
        <v>400</v>
      </c>
      <c r="D366" t="s">
        <v>402</v>
      </c>
      <c r="E366" t="s">
        <v>410</v>
      </c>
      <c r="F366" t="s">
        <v>413</v>
      </c>
      <c r="G366">
        <v>118.31416837782341</v>
      </c>
      <c r="H366" t="s">
        <v>419</v>
      </c>
      <c r="J366">
        <v>96</v>
      </c>
      <c r="K366">
        <v>88</v>
      </c>
      <c r="L366">
        <v>99</v>
      </c>
      <c r="M366">
        <v>93</v>
      </c>
      <c r="N366">
        <v>92</v>
      </c>
    </row>
    <row r="367" spans="1:14" x14ac:dyDescent="0.2">
      <c r="A367" t="s">
        <v>365</v>
      </c>
      <c r="B367" t="s">
        <v>790</v>
      </c>
      <c r="C367" t="s">
        <v>400</v>
      </c>
      <c r="D367" t="s">
        <v>402</v>
      </c>
      <c r="E367" t="s">
        <v>410</v>
      </c>
      <c r="F367" t="s">
        <v>413</v>
      </c>
      <c r="G367">
        <v>175.59137577002053</v>
      </c>
      <c r="H367" t="s">
        <v>419</v>
      </c>
      <c r="J367">
        <v>147</v>
      </c>
      <c r="K367">
        <v>116</v>
      </c>
      <c r="L367">
        <v>113</v>
      </c>
      <c r="M367">
        <v>132</v>
      </c>
      <c r="N367">
        <v>116</v>
      </c>
    </row>
    <row r="368" spans="1:14" x14ac:dyDescent="0.2">
      <c r="A368" t="s">
        <v>366</v>
      </c>
      <c r="B368" t="s">
        <v>791</v>
      </c>
      <c r="C368" t="s">
        <v>400</v>
      </c>
      <c r="D368" t="s">
        <v>402</v>
      </c>
      <c r="E368" t="s">
        <v>410</v>
      </c>
      <c r="F368" t="s">
        <v>413</v>
      </c>
      <c r="G368">
        <v>165.42505133470226</v>
      </c>
      <c r="H368" t="s">
        <v>418</v>
      </c>
      <c r="J368">
        <v>83</v>
      </c>
      <c r="K368">
        <v>114</v>
      </c>
      <c r="L368">
        <v>93</v>
      </c>
      <c r="M368">
        <v>97</v>
      </c>
      <c r="N368">
        <v>104</v>
      </c>
    </row>
    <row r="369" spans="1:14" x14ac:dyDescent="0.2">
      <c r="A369" t="s">
        <v>367</v>
      </c>
      <c r="B369" t="s">
        <v>792</v>
      </c>
      <c r="C369" t="s">
        <v>400</v>
      </c>
      <c r="D369" t="s">
        <v>402</v>
      </c>
      <c r="E369" t="s">
        <v>410</v>
      </c>
      <c r="F369" t="s">
        <v>415</v>
      </c>
      <c r="G369">
        <v>188.42505133470226</v>
      </c>
      <c r="H369" t="s">
        <v>419</v>
      </c>
      <c r="J369">
        <v>104</v>
      </c>
      <c r="K369">
        <v>114</v>
      </c>
      <c r="L369">
        <v>97</v>
      </c>
      <c r="M369">
        <v>106</v>
      </c>
      <c r="N369">
        <v>107</v>
      </c>
    </row>
    <row r="370" spans="1:14" x14ac:dyDescent="0.2">
      <c r="A370" t="s">
        <v>368</v>
      </c>
      <c r="B370" t="s">
        <v>793</v>
      </c>
      <c r="C370" t="s">
        <v>400</v>
      </c>
      <c r="D370" t="s">
        <v>402</v>
      </c>
      <c r="E370" t="s">
        <v>410</v>
      </c>
      <c r="F370" t="s">
        <v>413</v>
      </c>
      <c r="G370">
        <v>205.82135523613962</v>
      </c>
      <c r="H370" t="s">
        <v>418</v>
      </c>
      <c r="J370">
        <v>120</v>
      </c>
      <c r="K370">
        <v>103</v>
      </c>
      <c r="L370">
        <v>111</v>
      </c>
      <c r="M370">
        <v>113</v>
      </c>
      <c r="N370">
        <v>108</v>
      </c>
    </row>
    <row r="371" spans="1:14" x14ac:dyDescent="0.2">
      <c r="A371" t="s">
        <v>369</v>
      </c>
      <c r="B371" t="s">
        <v>794</v>
      </c>
      <c r="C371" t="s">
        <v>400</v>
      </c>
      <c r="D371" t="s">
        <v>402</v>
      </c>
      <c r="E371" t="s">
        <v>410</v>
      </c>
      <c r="F371" t="s">
        <v>413</v>
      </c>
      <c r="G371">
        <v>172.82135523613962</v>
      </c>
      <c r="H371" t="s">
        <v>418</v>
      </c>
      <c r="J371">
        <v>102</v>
      </c>
      <c r="K371">
        <v>107</v>
      </c>
      <c r="L371">
        <v>110</v>
      </c>
      <c r="M371">
        <v>107</v>
      </c>
      <c r="N371">
        <v>110</v>
      </c>
    </row>
    <row r="372" spans="1:14" x14ac:dyDescent="0.2">
      <c r="A372" t="s">
        <v>370</v>
      </c>
      <c r="B372" t="s">
        <v>795</v>
      </c>
      <c r="C372" t="s">
        <v>400</v>
      </c>
      <c r="D372" t="s">
        <v>402</v>
      </c>
      <c r="E372" t="s">
        <v>410</v>
      </c>
      <c r="F372" t="s">
        <v>413</v>
      </c>
      <c r="G372">
        <v>139.26283367556468</v>
      </c>
      <c r="H372" t="s">
        <v>419</v>
      </c>
      <c r="J372">
        <v>78</v>
      </c>
      <c r="K372">
        <v>86</v>
      </c>
      <c r="L372">
        <v>90</v>
      </c>
      <c r="M372">
        <v>82</v>
      </c>
      <c r="N372">
        <v>87</v>
      </c>
    </row>
    <row r="373" spans="1:14" x14ac:dyDescent="0.2">
      <c r="A373" t="s">
        <v>371</v>
      </c>
      <c r="B373" t="s">
        <v>796</v>
      </c>
      <c r="C373" t="s">
        <v>400</v>
      </c>
      <c r="D373" t="s">
        <v>402</v>
      </c>
      <c r="E373" t="s">
        <v>410</v>
      </c>
      <c r="F373" t="s">
        <v>415</v>
      </c>
      <c r="G373">
        <v>154.39425051334703</v>
      </c>
      <c r="H373" t="s">
        <v>418</v>
      </c>
      <c r="J373">
        <v>109</v>
      </c>
      <c r="K373">
        <v>120</v>
      </c>
      <c r="L373">
        <v>104</v>
      </c>
      <c r="M373">
        <v>113</v>
      </c>
      <c r="N373">
        <v>114</v>
      </c>
    </row>
    <row r="374" spans="1:14" x14ac:dyDescent="0.2">
      <c r="A374" t="s">
        <v>372</v>
      </c>
      <c r="B374" t="s">
        <v>797</v>
      </c>
      <c r="C374" t="s">
        <v>400</v>
      </c>
      <c r="D374" t="s">
        <v>402</v>
      </c>
      <c r="E374" t="s">
        <v>410</v>
      </c>
      <c r="F374" t="s">
        <v>413</v>
      </c>
      <c r="G374">
        <v>143.95277207392198</v>
      </c>
      <c r="H374" t="s">
        <v>419</v>
      </c>
      <c r="J374">
        <v>121</v>
      </c>
      <c r="K374">
        <v>129</v>
      </c>
      <c r="L374">
        <v>120</v>
      </c>
      <c r="M374">
        <v>130</v>
      </c>
      <c r="N374">
        <v>128</v>
      </c>
    </row>
    <row r="375" spans="1:14" x14ac:dyDescent="0.2">
      <c r="A375" t="s">
        <v>373</v>
      </c>
      <c r="B375" t="s">
        <v>798</v>
      </c>
      <c r="C375" t="s">
        <v>400</v>
      </c>
      <c r="D375" t="s">
        <v>402</v>
      </c>
      <c r="E375" t="s">
        <v>410</v>
      </c>
      <c r="F375" t="s">
        <v>415</v>
      </c>
      <c r="G375">
        <v>109.95277207392198</v>
      </c>
      <c r="H375" t="s">
        <v>419</v>
      </c>
      <c r="J375">
        <v>92</v>
      </c>
      <c r="K375">
        <v>111</v>
      </c>
      <c r="L375">
        <v>103</v>
      </c>
      <c r="M375">
        <v>103</v>
      </c>
      <c r="N375">
        <v>108</v>
      </c>
    </row>
    <row r="376" spans="1:14" x14ac:dyDescent="0.2">
      <c r="A376" t="s">
        <v>374</v>
      </c>
      <c r="B376" t="s">
        <v>799</v>
      </c>
      <c r="C376" t="s">
        <v>400</v>
      </c>
      <c r="D376" t="s">
        <v>404</v>
      </c>
      <c r="E376" t="s">
        <v>411</v>
      </c>
      <c r="F376" t="s">
        <v>413</v>
      </c>
      <c r="G376">
        <v>215.22997946611909</v>
      </c>
      <c r="H376" t="s">
        <v>418</v>
      </c>
      <c r="J376">
        <v>127</v>
      </c>
      <c r="K376">
        <v>107</v>
      </c>
      <c r="L376">
        <v>105</v>
      </c>
      <c r="M376">
        <v>115</v>
      </c>
      <c r="N376">
        <v>107</v>
      </c>
    </row>
    <row r="377" spans="1:14" x14ac:dyDescent="0.2">
      <c r="A377" t="s">
        <v>375</v>
      </c>
      <c r="B377" t="s">
        <v>800</v>
      </c>
      <c r="C377" t="s">
        <v>400</v>
      </c>
      <c r="D377" t="s">
        <v>404</v>
      </c>
      <c r="E377" t="s">
        <v>411</v>
      </c>
      <c r="F377" t="s">
        <v>413</v>
      </c>
      <c r="G377">
        <v>192.56878850102669</v>
      </c>
      <c r="H377" t="s">
        <v>419</v>
      </c>
      <c r="J377">
        <v>103</v>
      </c>
      <c r="K377">
        <v>96</v>
      </c>
      <c r="L377">
        <v>85</v>
      </c>
      <c r="M377">
        <v>93</v>
      </c>
      <c r="N377">
        <v>89</v>
      </c>
    </row>
    <row r="378" spans="1:14" x14ac:dyDescent="0.2">
      <c r="A378" t="s">
        <v>376</v>
      </c>
      <c r="B378" t="s">
        <v>801</v>
      </c>
      <c r="C378" t="s">
        <v>400</v>
      </c>
      <c r="D378" t="s">
        <v>402</v>
      </c>
      <c r="E378" t="s">
        <v>410</v>
      </c>
      <c r="F378" t="s">
        <v>413</v>
      </c>
      <c r="G378">
        <v>184</v>
      </c>
      <c r="H378" t="s">
        <v>419</v>
      </c>
      <c r="J378">
        <v>103</v>
      </c>
      <c r="K378">
        <v>91</v>
      </c>
      <c r="L378">
        <v>99</v>
      </c>
      <c r="M378">
        <v>97</v>
      </c>
      <c r="N378">
        <v>94</v>
      </c>
    </row>
    <row r="379" spans="1:14" x14ac:dyDescent="0.2">
      <c r="A379" t="s">
        <v>377</v>
      </c>
      <c r="B379" t="s">
        <v>802</v>
      </c>
      <c r="C379" t="s">
        <v>400</v>
      </c>
      <c r="D379" t="s">
        <v>402</v>
      </c>
      <c r="E379" t="s">
        <v>410</v>
      </c>
      <c r="F379" t="s">
        <v>413</v>
      </c>
      <c r="G379">
        <v>215.36139630390144</v>
      </c>
      <c r="H379" t="s">
        <v>419</v>
      </c>
      <c r="J379">
        <v>77</v>
      </c>
      <c r="K379">
        <v>79</v>
      </c>
      <c r="L379">
        <v>94</v>
      </c>
      <c r="M379">
        <v>80</v>
      </c>
      <c r="N379">
        <v>85</v>
      </c>
    </row>
    <row r="380" spans="1:14" x14ac:dyDescent="0.2">
      <c r="A380" t="s">
        <v>378</v>
      </c>
      <c r="B380" t="s">
        <v>803</v>
      </c>
      <c r="C380" t="s">
        <v>400</v>
      </c>
      <c r="D380" t="s">
        <v>404</v>
      </c>
      <c r="E380" t="s">
        <v>411</v>
      </c>
      <c r="F380" t="s">
        <v>413</v>
      </c>
      <c r="G380">
        <v>179.05133470225871</v>
      </c>
      <c r="H380" t="s">
        <v>419</v>
      </c>
      <c r="J380">
        <v>83</v>
      </c>
      <c r="K380">
        <v>90</v>
      </c>
      <c r="L380">
        <v>80</v>
      </c>
      <c r="M380">
        <v>82</v>
      </c>
      <c r="N380">
        <v>84</v>
      </c>
    </row>
    <row r="381" spans="1:14" x14ac:dyDescent="0.2">
      <c r="A381" t="s">
        <v>379</v>
      </c>
      <c r="B381" t="s">
        <v>804</v>
      </c>
      <c r="C381" t="s">
        <v>400</v>
      </c>
      <c r="D381" t="s">
        <v>402</v>
      </c>
      <c r="E381" t="s">
        <v>410</v>
      </c>
      <c r="F381" t="s">
        <v>413</v>
      </c>
      <c r="G381">
        <v>139.26283367556468</v>
      </c>
      <c r="H381" t="s">
        <v>419</v>
      </c>
      <c r="J381">
        <v>98</v>
      </c>
      <c r="K381">
        <v>123</v>
      </c>
      <c r="L381">
        <v>116</v>
      </c>
      <c r="M381">
        <v>115</v>
      </c>
      <c r="N381">
        <v>122</v>
      </c>
    </row>
    <row r="382" spans="1:14" x14ac:dyDescent="0.2">
      <c r="A382" t="s">
        <v>380</v>
      </c>
      <c r="B382" t="s">
        <v>805</v>
      </c>
      <c r="C382" t="s">
        <v>400</v>
      </c>
      <c r="D382" t="s">
        <v>402</v>
      </c>
      <c r="E382" t="s">
        <v>410</v>
      </c>
      <c r="F382" t="s">
        <v>413</v>
      </c>
      <c r="G382">
        <v>116.26283367556468</v>
      </c>
      <c r="H382" t="s">
        <v>418</v>
      </c>
      <c r="J382">
        <v>125</v>
      </c>
      <c r="K382">
        <v>121</v>
      </c>
      <c r="L382">
        <v>133</v>
      </c>
      <c r="M382">
        <v>133</v>
      </c>
      <c r="N382">
        <v>130</v>
      </c>
    </row>
    <row r="383" spans="1:14" x14ac:dyDescent="0.2">
      <c r="A383" t="s">
        <v>381</v>
      </c>
      <c r="B383" t="s">
        <v>806</v>
      </c>
      <c r="C383" t="s">
        <v>400</v>
      </c>
      <c r="D383" t="s">
        <v>402</v>
      </c>
      <c r="E383" t="s">
        <v>410</v>
      </c>
      <c r="F383" t="s">
        <v>415</v>
      </c>
      <c r="G383">
        <v>98.42505133470226</v>
      </c>
      <c r="H383" t="s">
        <v>418</v>
      </c>
      <c r="J383">
        <v>138</v>
      </c>
      <c r="K383">
        <v>119</v>
      </c>
      <c r="L383">
        <v>100</v>
      </c>
      <c r="M383">
        <v>123</v>
      </c>
      <c r="N383">
        <v>111</v>
      </c>
    </row>
    <row r="384" spans="1:14" x14ac:dyDescent="0.2">
      <c r="A384" t="s">
        <v>382</v>
      </c>
      <c r="B384" t="s">
        <v>807</v>
      </c>
      <c r="C384" t="s">
        <v>400</v>
      </c>
      <c r="D384" t="s">
        <v>402</v>
      </c>
      <c r="E384" t="s">
        <v>410</v>
      </c>
      <c r="F384" t="s">
        <v>413</v>
      </c>
      <c r="G384">
        <v>136</v>
      </c>
      <c r="H384" t="s">
        <v>418</v>
      </c>
      <c r="J384">
        <v>155</v>
      </c>
      <c r="K384">
        <v>149</v>
      </c>
      <c r="L384">
        <v>159</v>
      </c>
      <c r="M384">
        <v>167</v>
      </c>
      <c r="N384">
        <v>160</v>
      </c>
    </row>
    <row r="385" spans="1:14" x14ac:dyDescent="0.2">
      <c r="A385" t="s">
        <v>383</v>
      </c>
      <c r="B385" t="s">
        <v>808</v>
      </c>
      <c r="C385" t="s">
        <v>400</v>
      </c>
      <c r="D385" t="s">
        <v>402</v>
      </c>
      <c r="E385" t="s">
        <v>410</v>
      </c>
      <c r="F385" t="s">
        <v>413</v>
      </c>
      <c r="G385">
        <v>132.03285420944559</v>
      </c>
      <c r="H385" t="s">
        <v>418</v>
      </c>
      <c r="J385">
        <v>120</v>
      </c>
      <c r="K385">
        <v>105</v>
      </c>
      <c r="L385">
        <v>95</v>
      </c>
      <c r="M385">
        <v>108</v>
      </c>
      <c r="N385">
        <v>101</v>
      </c>
    </row>
    <row r="386" spans="1:14" x14ac:dyDescent="0.2">
      <c r="A386" t="s">
        <v>384</v>
      </c>
      <c r="B386" t="s">
        <v>809</v>
      </c>
      <c r="C386" t="s">
        <v>400</v>
      </c>
      <c r="D386" t="s">
        <v>824</v>
      </c>
      <c r="E386" t="s">
        <v>410</v>
      </c>
      <c r="F386" t="s">
        <v>415</v>
      </c>
      <c r="G386">
        <v>148</v>
      </c>
      <c r="H386" t="s">
        <v>419</v>
      </c>
      <c r="J386">
        <v>122</v>
      </c>
      <c r="K386">
        <v>130</v>
      </c>
      <c r="L386">
        <v>112</v>
      </c>
      <c r="M386">
        <v>127</v>
      </c>
      <c r="N386">
        <v>124</v>
      </c>
    </row>
    <row r="387" spans="1:14" x14ac:dyDescent="0.2">
      <c r="A387" t="s">
        <v>385</v>
      </c>
      <c r="B387" t="s">
        <v>810</v>
      </c>
      <c r="C387" t="s">
        <v>400</v>
      </c>
      <c r="D387" t="s">
        <v>402</v>
      </c>
      <c r="E387" t="s">
        <v>410</v>
      </c>
      <c r="F387" t="s">
        <v>414</v>
      </c>
      <c r="G387">
        <v>158.16427104722791</v>
      </c>
      <c r="H387" t="s">
        <v>418</v>
      </c>
      <c r="J387">
        <v>110</v>
      </c>
      <c r="K387">
        <v>96</v>
      </c>
      <c r="L387">
        <v>102</v>
      </c>
      <c r="M387">
        <v>103</v>
      </c>
      <c r="N387">
        <v>99</v>
      </c>
    </row>
    <row r="388" spans="1:14" x14ac:dyDescent="0.2">
      <c r="A388" t="s">
        <v>386</v>
      </c>
      <c r="B388" t="s">
        <v>811</v>
      </c>
      <c r="C388" t="s">
        <v>400</v>
      </c>
      <c r="D388" t="s">
        <v>402</v>
      </c>
      <c r="E388" t="s">
        <v>410</v>
      </c>
      <c r="F388" t="s">
        <v>414</v>
      </c>
      <c r="G388">
        <v>213.26283367556468</v>
      </c>
      <c r="H388" t="s">
        <v>418</v>
      </c>
      <c r="J388">
        <v>114</v>
      </c>
      <c r="K388">
        <v>97</v>
      </c>
      <c r="L388">
        <v>96</v>
      </c>
      <c r="M388">
        <v>102</v>
      </c>
      <c r="N388">
        <v>96</v>
      </c>
    </row>
    <row r="389" spans="1:14" x14ac:dyDescent="0.2">
      <c r="A389" t="s">
        <v>387</v>
      </c>
      <c r="B389" t="s">
        <v>812</v>
      </c>
      <c r="C389" t="s">
        <v>400</v>
      </c>
      <c r="D389" t="s">
        <v>402</v>
      </c>
      <c r="E389" t="s">
        <v>410</v>
      </c>
      <c r="F389" t="s">
        <v>414</v>
      </c>
      <c r="G389">
        <v>160</v>
      </c>
      <c r="H389" t="s">
        <v>418</v>
      </c>
      <c r="J389">
        <v>98</v>
      </c>
      <c r="K389">
        <v>93</v>
      </c>
      <c r="L389">
        <v>88</v>
      </c>
      <c r="M389">
        <v>91</v>
      </c>
      <c r="N389">
        <v>89</v>
      </c>
    </row>
    <row r="390" spans="1:14" x14ac:dyDescent="0.2">
      <c r="A390" t="s">
        <v>388</v>
      </c>
      <c r="B390" t="s">
        <v>813</v>
      </c>
      <c r="C390" t="s">
        <v>400</v>
      </c>
      <c r="D390" t="s">
        <v>402</v>
      </c>
      <c r="E390" t="s">
        <v>410</v>
      </c>
      <c r="F390" t="s">
        <v>414</v>
      </c>
      <c r="G390">
        <v>185</v>
      </c>
      <c r="H390" t="s">
        <v>418</v>
      </c>
      <c r="J390">
        <v>102</v>
      </c>
      <c r="K390">
        <v>89</v>
      </c>
      <c r="L390">
        <v>94</v>
      </c>
      <c r="M390">
        <v>93</v>
      </c>
      <c r="N390">
        <v>90</v>
      </c>
    </row>
    <row r="391" spans="1:14" x14ac:dyDescent="0.2">
      <c r="A391" t="s">
        <v>389</v>
      </c>
      <c r="B391" t="s">
        <v>814</v>
      </c>
      <c r="C391" t="s">
        <v>400</v>
      </c>
      <c r="D391" t="s">
        <v>402</v>
      </c>
      <c r="E391" t="s">
        <v>410</v>
      </c>
      <c r="F391" t="s">
        <v>414</v>
      </c>
      <c r="G391">
        <v>186</v>
      </c>
      <c r="H391" t="s">
        <v>419</v>
      </c>
      <c r="J391">
        <v>124</v>
      </c>
      <c r="K391">
        <v>97</v>
      </c>
      <c r="L391">
        <v>94</v>
      </c>
      <c r="M391">
        <v>106</v>
      </c>
      <c r="N391">
        <v>95</v>
      </c>
    </row>
    <row r="392" spans="1:14" x14ac:dyDescent="0.2">
      <c r="A392" t="s">
        <v>390</v>
      </c>
      <c r="B392" t="s">
        <v>815</v>
      </c>
      <c r="C392" t="s">
        <v>400</v>
      </c>
      <c r="D392" t="s">
        <v>402</v>
      </c>
      <c r="E392" t="s">
        <v>410</v>
      </c>
      <c r="F392" t="s">
        <v>414</v>
      </c>
      <c r="G392">
        <v>161</v>
      </c>
      <c r="H392" t="s">
        <v>418</v>
      </c>
      <c r="J392">
        <v>119</v>
      </c>
      <c r="K392">
        <v>98</v>
      </c>
      <c r="L392">
        <v>115</v>
      </c>
      <c r="M392">
        <v>112</v>
      </c>
      <c r="N392">
        <v>107</v>
      </c>
    </row>
    <row r="393" spans="1:14" x14ac:dyDescent="0.2">
      <c r="A393" t="s">
        <v>391</v>
      </c>
      <c r="B393" t="s">
        <v>816</v>
      </c>
      <c r="C393" t="s">
        <v>400</v>
      </c>
      <c r="D393" t="s">
        <v>402</v>
      </c>
      <c r="E393" t="s">
        <v>411</v>
      </c>
      <c r="F393" t="s">
        <v>413</v>
      </c>
      <c r="G393">
        <v>206.72279260780289</v>
      </c>
      <c r="H393" t="s">
        <v>418</v>
      </c>
      <c r="J393">
        <v>106</v>
      </c>
      <c r="K393">
        <v>71</v>
      </c>
      <c r="L393">
        <v>88</v>
      </c>
      <c r="M393">
        <v>86</v>
      </c>
      <c r="N393">
        <v>999</v>
      </c>
    </row>
    <row r="394" spans="1:14" x14ac:dyDescent="0.2">
      <c r="A394" t="s">
        <v>392</v>
      </c>
      <c r="B394" t="s">
        <v>817</v>
      </c>
      <c r="C394" t="s">
        <v>400</v>
      </c>
      <c r="D394" t="s">
        <v>402</v>
      </c>
      <c r="E394" t="s">
        <v>411</v>
      </c>
      <c r="F394" t="s">
        <v>415</v>
      </c>
      <c r="G394">
        <v>76.123203285420942</v>
      </c>
      <c r="H394" t="s">
        <v>418</v>
      </c>
      <c r="J394">
        <v>117</v>
      </c>
      <c r="K394">
        <v>111</v>
      </c>
      <c r="L394">
        <v>116</v>
      </c>
      <c r="M394">
        <v>117</v>
      </c>
      <c r="N394">
        <v>115</v>
      </c>
    </row>
    <row r="395" spans="1:14" x14ac:dyDescent="0.2">
      <c r="A395" t="s">
        <v>393</v>
      </c>
      <c r="B395" t="s">
        <v>818</v>
      </c>
      <c r="C395" t="s">
        <v>400</v>
      </c>
      <c r="D395" t="s">
        <v>402</v>
      </c>
      <c r="E395" t="s">
        <v>410</v>
      </c>
      <c r="F395" t="s">
        <v>414</v>
      </c>
      <c r="G395">
        <v>125</v>
      </c>
      <c r="H395" t="s">
        <v>419</v>
      </c>
      <c r="J395">
        <v>96</v>
      </c>
      <c r="K395">
        <v>88</v>
      </c>
      <c r="L395">
        <v>94</v>
      </c>
      <c r="M395">
        <v>91</v>
      </c>
      <c r="N395">
        <v>89</v>
      </c>
    </row>
    <row r="396" spans="1:14" x14ac:dyDescent="0.2">
      <c r="A396" t="s">
        <v>394</v>
      </c>
      <c r="B396" t="s">
        <v>819</v>
      </c>
      <c r="C396" t="s">
        <v>400</v>
      </c>
      <c r="D396" t="s">
        <v>402</v>
      </c>
      <c r="E396" t="s">
        <v>411</v>
      </c>
      <c r="F396" t="s">
        <v>414</v>
      </c>
      <c r="G396">
        <v>100</v>
      </c>
      <c r="H396" t="s">
        <v>418</v>
      </c>
      <c r="J396">
        <v>90</v>
      </c>
      <c r="K396">
        <v>102</v>
      </c>
      <c r="L396">
        <v>102</v>
      </c>
      <c r="M396">
        <v>98</v>
      </c>
      <c r="N396">
        <v>103</v>
      </c>
    </row>
  </sheetData>
  <phoneticPr fontId="1" type="noConversion"/>
  <conditionalFormatting sqref="A1:N396">
    <cfRule type="cellIs" dxfId="2" priority="1" operator="equal">
      <formula>999</formula>
    </cfRule>
  </conditionalFormatting>
  <conditionalFormatting sqref="N230">
    <cfRule type="cellIs" dxfId="1" priority="2" operator="equal">
      <formula>999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42DEF-77F2-4917-975B-CE8DF1F10266}">
  <dimension ref="A1:G400"/>
  <sheetViews>
    <sheetView topLeftCell="A150" workbookViewId="0">
      <selection activeCell="F401" sqref="F401"/>
    </sheetView>
  </sheetViews>
  <sheetFormatPr baseColWidth="10" defaultColWidth="8.83203125" defaultRowHeight="15" x14ac:dyDescent="0.2"/>
  <cols>
    <col min="4" max="4" width="20.5" bestFit="1" customWidth="1"/>
    <col min="5" max="5" width="22.6640625" bestFit="1" customWidth="1"/>
    <col min="6" max="6" width="35.1640625" customWidth="1"/>
  </cols>
  <sheetData>
    <row r="1" spans="1:6" x14ac:dyDescent="0.2">
      <c r="A1" t="s">
        <v>412</v>
      </c>
      <c r="B1" t="s">
        <v>417</v>
      </c>
      <c r="C1" t="s">
        <v>825</v>
      </c>
      <c r="D1" t="s">
        <v>822</v>
      </c>
      <c r="E1" t="s">
        <v>823</v>
      </c>
      <c r="F1" t="s">
        <v>826</v>
      </c>
    </row>
    <row r="2" spans="1:6" x14ac:dyDescent="0.2">
      <c r="A2" t="s">
        <v>413</v>
      </c>
      <c r="B2" t="s">
        <v>418</v>
      </c>
      <c r="C2">
        <f>IF(A2="ASD",1,IF(A2="CON",0,2))</f>
        <v>1</v>
      </c>
      <c r="D2">
        <f>IF(A2="ASD",1,0)</f>
        <v>1</v>
      </c>
      <c r="E2">
        <f>IF(B2="M",0,1)</f>
        <v>0</v>
      </c>
      <c r="F2">
        <f>IF(AND(A2="ASD",B2="F"),1,IF(AND(A2="ASD",B2="M"),2,IF(AND(A2&lt;&gt;"ASD",B2="F"),3,4)))</f>
        <v>2</v>
      </c>
    </row>
    <row r="3" spans="1:6" x14ac:dyDescent="0.2">
      <c r="A3" t="s">
        <v>414</v>
      </c>
      <c r="B3" t="s">
        <v>418</v>
      </c>
      <c r="C3">
        <f t="shared" ref="C3:C66" si="0">IF(A3="ASD",1,IF(A3="CON",0,2))</f>
        <v>0</v>
      </c>
      <c r="D3">
        <f t="shared" ref="D3:D66" si="1">IF(A3="ASD",1,0)</f>
        <v>0</v>
      </c>
      <c r="E3">
        <f t="shared" ref="E3:E66" si="2">IF(B3="M",0,1)</f>
        <v>0</v>
      </c>
      <c r="F3">
        <f t="shared" ref="F3:F66" si="3">IF(AND(A3="ASD",B3="F"),1,IF(AND(A3="ASD",B3="M"),2,IF(AND(A3&lt;&gt;"ASD",B3="F"),3,4)))</f>
        <v>4</v>
      </c>
    </row>
    <row r="4" spans="1:6" x14ac:dyDescent="0.2">
      <c r="A4" t="s">
        <v>414</v>
      </c>
      <c r="B4" t="s">
        <v>419</v>
      </c>
      <c r="C4">
        <f t="shared" si="0"/>
        <v>0</v>
      </c>
      <c r="D4">
        <f t="shared" si="1"/>
        <v>0</v>
      </c>
      <c r="E4">
        <f t="shared" si="2"/>
        <v>1</v>
      </c>
      <c r="F4">
        <f t="shared" si="3"/>
        <v>3</v>
      </c>
    </row>
    <row r="5" spans="1:6" x14ac:dyDescent="0.2">
      <c r="A5" t="s">
        <v>414</v>
      </c>
      <c r="B5" t="s">
        <v>418</v>
      </c>
      <c r="C5">
        <f t="shared" si="0"/>
        <v>0</v>
      </c>
      <c r="D5">
        <f t="shared" si="1"/>
        <v>0</v>
      </c>
      <c r="E5">
        <f t="shared" si="2"/>
        <v>0</v>
      </c>
      <c r="F5">
        <f t="shared" si="3"/>
        <v>4</v>
      </c>
    </row>
    <row r="6" spans="1:6" x14ac:dyDescent="0.2">
      <c r="A6" t="s">
        <v>414</v>
      </c>
      <c r="B6" t="s">
        <v>419</v>
      </c>
      <c r="C6">
        <f t="shared" si="0"/>
        <v>0</v>
      </c>
      <c r="D6">
        <f t="shared" si="1"/>
        <v>0</v>
      </c>
      <c r="E6">
        <f t="shared" si="2"/>
        <v>1</v>
      </c>
      <c r="F6">
        <f t="shared" si="3"/>
        <v>3</v>
      </c>
    </row>
    <row r="7" spans="1:6" x14ac:dyDescent="0.2">
      <c r="A7" t="s">
        <v>414</v>
      </c>
      <c r="B7" t="s">
        <v>418</v>
      </c>
      <c r="C7">
        <f t="shared" si="0"/>
        <v>0</v>
      </c>
      <c r="D7">
        <f t="shared" si="1"/>
        <v>0</v>
      </c>
      <c r="E7">
        <f t="shared" si="2"/>
        <v>0</v>
      </c>
      <c r="F7">
        <f t="shared" si="3"/>
        <v>4</v>
      </c>
    </row>
    <row r="8" spans="1:6" x14ac:dyDescent="0.2">
      <c r="A8" t="s">
        <v>413</v>
      </c>
      <c r="B8" t="s">
        <v>418</v>
      </c>
      <c r="C8">
        <f t="shared" si="0"/>
        <v>1</v>
      </c>
      <c r="D8">
        <f t="shared" si="1"/>
        <v>1</v>
      </c>
      <c r="E8">
        <f t="shared" si="2"/>
        <v>0</v>
      </c>
      <c r="F8">
        <f t="shared" si="3"/>
        <v>2</v>
      </c>
    </row>
    <row r="9" spans="1:6" x14ac:dyDescent="0.2">
      <c r="A9" t="s">
        <v>415</v>
      </c>
      <c r="B9" t="s">
        <v>418</v>
      </c>
      <c r="C9">
        <f t="shared" si="0"/>
        <v>2</v>
      </c>
      <c r="D9">
        <f t="shared" si="1"/>
        <v>0</v>
      </c>
      <c r="E9">
        <f t="shared" si="2"/>
        <v>0</v>
      </c>
      <c r="F9">
        <f t="shared" si="3"/>
        <v>4</v>
      </c>
    </row>
    <row r="10" spans="1:6" x14ac:dyDescent="0.2">
      <c r="A10" t="s">
        <v>413</v>
      </c>
      <c r="B10" t="s">
        <v>418</v>
      </c>
      <c r="C10">
        <f t="shared" si="0"/>
        <v>1</v>
      </c>
      <c r="D10">
        <f t="shared" si="1"/>
        <v>1</v>
      </c>
      <c r="E10">
        <f t="shared" si="2"/>
        <v>0</v>
      </c>
      <c r="F10">
        <f t="shared" si="3"/>
        <v>2</v>
      </c>
    </row>
    <row r="11" spans="1:6" x14ac:dyDescent="0.2">
      <c r="A11" t="s">
        <v>415</v>
      </c>
      <c r="B11" t="s">
        <v>418</v>
      </c>
      <c r="C11">
        <f t="shared" si="0"/>
        <v>2</v>
      </c>
      <c r="D11">
        <f t="shared" si="1"/>
        <v>0</v>
      </c>
      <c r="E11">
        <f t="shared" si="2"/>
        <v>0</v>
      </c>
      <c r="F11">
        <f t="shared" si="3"/>
        <v>4</v>
      </c>
    </row>
    <row r="12" spans="1:6" x14ac:dyDescent="0.2">
      <c r="A12" t="s">
        <v>413</v>
      </c>
      <c r="B12" t="s">
        <v>418</v>
      </c>
      <c r="C12">
        <f t="shared" si="0"/>
        <v>1</v>
      </c>
      <c r="D12">
        <f t="shared" si="1"/>
        <v>1</v>
      </c>
      <c r="E12">
        <f t="shared" si="2"/>
        <v>0</v>
      </c>
      <c r="F12">
        <f t="shared" si="3"/>
        <v>2</v>
      </c>
    </row>
    <row r="13" spans="1:6" x14ac:dyDescent="0.2">
      <c r="A13" t="s">
        <v>413</v>
      </c>
      <c r="B13" t="s">
        <v>418</v>
      </c>
      <c r="C13">
        <f t="shared" si="0"/>
        <v>1</v>
      </c>
      <c r="D13">
        <f t="shared" si="1"/>
        <v>1</v>
      </c>
      <c r="E13">
        <f t="shared" si="2"/>
        <v>0</v>
      </c>
      <c r="F13">
        <f t="shared" si="3"/>
        <v>2</v>
      </c>
    </row>
    <row r="14" spans="1:6" x14ac:dyDescent="0.2">
      <c r="A14" t="s">
        <v>414</v>
      </c>
      <c r="B14" t="s">
        <v>418</v>
      </c>
      <c r="C14">
        <f t="shared" si="0"/>
        <v>0</v>
      </c>
      <c r="D14">
        <f t="shared" si="1"/>
        <v>0</v>
      </c>
      <c r="E14">
        <f t="shared" si="2"/>
        <v>0</v>
      </c>
      <c r="F14">
        <f t="shared" si="3"/>
        <v>4</v>
      </c>
    </row>
    <row r="15" spans="1:6" x14ac:dyDescent="0.2">
      <c r="A15" t="s">
        <v>414</v>
      </c>
      <c r="B15" t="s">
        <v>418</v>
      </c>
      <c r="C15">
        <f t="shared" si="0"/>
        <v>0</v>
      </c>
      <c r="D15">
        <f t="shared" si="1"/>
        <v>0</v>
      </c>
      <c r="E15">
        <f t="shared" si="2"/>
        <v>0</v>
      </c>
      <c r="F15">
        <f t="shared" si="3"/>
        <v>4</v>
      </c>
    </row>
    <row r="16" spans="1:6" x14ac:dyDescent="0.2">
      <c r="A16" t="s">
        <v>413</v>
      </c>
      <c r="B16" t="s">
        <v>418</v>
      </c>
      <c r="C16">
        <f t="shared" si="0"/>
        <v>1</v>
      </c>
      <c r="D16">
        <f t="shared" si="1"/>
        <v>1</v>
      </c>
      <c r="E16">
        <f t="shared" si="2"/>
        <v>0</v>
      </c>
      <c r="F16">
        <f t="shared" si="3"/>
        <v>2</v>
      </c>
    </row>
    <row r="17" spans="1:6" x14ac:dyDescent="0.2">
      <c r="A17" t="s">
        <v>414</v>
      </c>
      <c r="B17" t="s">
        <v>419</v>
      </c>
      <c r="C17">
        <f t="shared" si="0"/>
        <v>0</v>
      </c>
      <c r="D17">
        <f t="shared" si="1"/>
        <v>0</v>
      </c>
      <c r="E17">
        <f t="shared" si="2"/>
        <v>1</v>
      </c>
      <c r="F17">
        <f t="shared" si="3"/>
        <v>3</v>
      </c>
    </row>
    <row r="18" spans="1:6" x14ac:dyDescent="0.2">
      <c r="A18" t="s">
        <v>414</v>
      </c>
      <c r="B18" t="s">
        <v>419</v>
      </c>
      <c r="C18">
        <f t="shared" si="0"/>
        <v>0</v>
      </c>
      <c r="D18">
        <f t="shared" si="1"/>
        <v>0</v>
      </c>
      <c r="E18">
        <f t="shared" si="2"/>
        <v>1</v>
      </c>
      <c r="F18">
        <f t="shared" si="3"/>
        <v>3</v>
      </c>
    </row>
    <row r="19" spans="1:6" x14ac:dyDescent="0.2">
      <c r="A19" t="s">
        <v>413</v>
      </c>
      <c r="B19" t="s">
        <v>418</v>
      </c>
      <c r="C19">
        <f t="shared" si="0"/>
        <v>1</v>
      </c>
      <c r="D19">
        <f t="shared" si="1"/>
        <v>1</v>
      </c>
      <c r="E19">
        <f t="shared" si="2"/>
        <v>0</v>
      </c>
      <c r="F19">
        <f t="shared" si="3"/>
        <v>2</v>
      </c>
    </row>
    <row r="20" spans="1:6" x14ac:dyDescent="0.2">
      <c r="A20" t="s">
        <v>413</v>
      </c>
      <c r="B20" t="s">
        <v>419</v>
      </c>
      <c r="C20">
        <f t="shared" si="0"/>
        <v>1</v>
      </c>
      <c r="D20">
        <f t="shared" si="1"/>
        <v>1</v>
      </c>
      <c r="E20">
        <f t="shared" si="2"/>
        <v>1</v>
      </c>
      <c r="F20">
        <f t="shared" si="3"/>
        <v>1</v>
      </c>
    </row>
    <row r="21" spans="1:6" x14ac:dyDescent="0.2">
      <c r="A21" t="s">
        <v>413</v>
      </c>
      <c r="B21" t="s">
        <v>418</v>
      </c>
      <c r="C21">
        <f t="shared" si="0"/>
        <v>1</v>
      </c>
      <c r="D21">
        <f t="shared" si="1"/>
        <v>1</v>
      </c>
      <c r="E21">
        <f t="shared" si="2"/>
        <v>0</v>
      </c>
      <c r="F21">
        <f t="shared" si="3"/>
        <v>2</v>
      </c>
    </row>
    <row r="22" spans="1:6" x14ac:dyDescent="0.2">
      <c r="A22" t="s">
        <v>413</v>
      </c>
      <c r="B22" t="s">
        <v>419</v>
      </c>
      <c r="C22">
        <f t="shared" si="0"/>
        <v>1</v>
      </c>
      <c r="D22">
        <f t="shared" si="1"/>
        <v>1</v>
      </c>
      <c r="E22">
        <f t="shared" si="2"/>
        <v>1</v>
      </c>
      <c r="F22">
        <f t="shared" si="3"/>
        <v>1</v>
      </c>
    </row>
    <row r="23" spans="1:6" x14ac:dyDescent="0.2">
      <c r="A23" t="s">
        <v>415</v>
      </c>
      <c r="B23" t="s">
        <v>419</v>
      </c>
      <c r="C23">
        <f t="shared" si="0"/>
        <v>2</v>
      </c>
      <c r="D23">
        <f t="shared" si="1"/>
        <v>0</v>
      </c>
      <c r="E23">
        <f t="shared" si="2"/>
        <v>1</v>
      </c>
      <c r="F23">
        <f t="shared" si="3"/>
        <v>3</v>
      </c>
    </row>
    <row r="24" spans="1:6" x14ac:dyDescent="0.2">
      <c r="A24" t="s">
        <v>413</v>
      </c>
      <c r="B24" t="s">
        <v>418</v>
      </c>
      <c r="C24">
        <f t="shared" si="0"/>
        <v>1</v>
      </c>
      <c r="D24">
        <f t="shared" si="1"/>
        <v>1</v>
      </c>
      <c r="E24">
        <f t="shared" si="2"/>
        <v>0</v>
      </c>
      <c r="F24">
        <f t="shared" si="3"/>
        <v>2</v>
      </c>
    </row>
    <row r="25" spans="1:6" x14ac:dyDescent="0.2">
      <c r="A25" t="s">
        <v>413</v>
      </c>
      <c r="B25" t="s">
        <v>418</v>
      </c>
      <c r="C25">
        <f t="shared" si="0"/>
        <v>1</v>
      </c>
      <c r="D25">
        <f t="shared" si="1"/>
        <v>1</v>
      </c>
      <c r="E25">
        <f t="shared" si="2"/>
        <v>0</v>
      </c>
      <c r="F25">
        <f t="shared" si="3"/>
        <v>2</v>
      </c>
    </row>
    <row r="26" spans="1:6" x14ac:dyDescent="0.2">
      <c r="A26" t="s">
        <v>413</v>
      </c>
      <c r="B26" t="s">
        <v>418</v>
      </c>
      <c r="C26">
        <f t="shared" si="0"/>
        <v>1</v>
      </c>
      <c r="D26">
        <f t="shared" si="1"/>
        <v>1</v>
      </c>
      <c r="E26">
        <f t="shared" si="2"/>
        <v>0</v>
      </c>
      <c r="F26">
        <f t="shared" si="3"/>
        <v>2</v>
      </c>
    </row>
    <row r="27" spans="1:6" x14ac:dyDescent="0.2">
      <c r="A27" t="s">
        <v>413</v>
      </c>
      <c r="B27" t="s">
        <v>418</v>
      </c>
      <c r="C27">
        <f t="shared" si="0"/>
        <v>1</v>
      </c>
      <c r="D27">
        <f t="shared" si="1"/>
        <v>1</v>
      </c>
      <c r="E27">
        <f t="shared" si="2"/>
        <v>0</v>
      </c>
      <c r="F27">
        <f t="shared" si="3"/>
        <v>2</v>
      </c>
    </row>
    <row r="28" spans="1:6" x14ac:dyDescent="0.2">
      <c r="A28" t="s">
        <v>413</v>
      </c>
      <c r="B28" t="s">
        <v>418</v>
      </c>
      <c r="C28">
        <f t="shared" si="0"/>
        <v>1</v>
      </c>
      <c r="D28">
        <f t="shared" si="1"/>
        <v>1</v>
      </c>
      <c r="E28">
        <f t="shared" si="2"/>
        <v>0</v>
      </c>
      <c r="F28">
        <f t="shared" si="3"/>
        <v>2</v>
      </c>
    </row>
    <row r="29" spans="1:6" x14ac:dyDescent="0.2">
      <c r="A29" t="s">
        <v>413</v>
      </c>
      <c r="B29" t="s">
        <v>419</v>
      </c>
      <c r="C29">
        <f t="shared" si="0"/>
        <v>1</v>
      </c>
      <c r="D29">
        <f t="shared" si="1"/>
        <v>1</v>
      </c>
      <c r="E29">
        <f t="shared" si="2"/>
        <v>1</v>
      </c>
      <c r="F29">
        <f t="shared" si="3"/>
        <v>1</v>
      </c>
    </row>
    <row r="30" spans="1:6" x14ac:dyDescent="0.2">
      <c r="A30" t="s">
        <v>413</v>
      </c>
      <c r="B30" t="s">
        <v>418</v>
      </c>
      <c r="C30">
        <f t="shared" si="0"/>
        <v>1</v>
      </c>
      <c r="D30">
        <f t="shared" si="1"/>
        <v>1</v>
      </c>
      <c r="E30">
        <f t="shared" si="2"/>
        <v>0</v>
      </c>
      <c r="F30">
        <f t="shared" si="3"/>
        <v>2</v>
      </c>
    </row>
    <row r="31" spans="1:6" x14ac:dyDescent="0.2">
      <c r="A31" t="s">
        <v>413</v>
      </c>
      <c r="B31" t="s">
        <v>418</v>
      </c>
      <c r="C31">
        <f t="shared" si="0"/>
        <v>1</v>
      </c>
      <c r="D31">
        <f t="shared" si="1"/>
        <v>1</v>
      </c>
      <c r="E31">
        <f t="shared" si="2"/>
        <v>0</v>
      </c>
      <c r="F31">
        <f t="shared" si="3"/>
        <v>2</v>
      </c>
    </row>
    <row r="32" spans="1:6" x14ac:dyDescent="0.2">
      <c r="A32" t="s">
        <v>415</v>
      </c>
      <c r="B32" t="s">
        <v>419</v>
      </c>
      <c r="C32">
        <f t="shared" si="0"/>
        <v>2</v>
      </c>
      <c r="D32">
        <f t="shared" si="1"/>
        <v>0</v>
      </c>
      <c r="E32">
        <f t="shared" si="2"/>
        <v>1</v>
      </c>
      <c r="F32">
        <f t="shared" si="3"/>
        <v>3</v>
      </c>
    </row>
    <row r="33" spans="1:6" x14ac:dyDescent="0.2">
      <c r="A33" t="s">
        <v>415</v>
      </c>
      <c r="B33" t="s">
        <v>419</v>
      </c>
      <c r="C33">
        <f t="shared" si="0"/>
        <v>2</v>
      </c>
      <c r="D33">
        <f t="shared" si="1"/>
        <v>0</v>
      </c>
      <c r="E33">
        <f t="shared" si="2"/>
        <v>1</v>
      </c>
      <c r="F33">
        <f t="shared" si="3"/>
        <v>3</v>
      </c>
    </row>
    <row r="34" spans="1:6" x14ac:dyDescent="0.2">
      <c r="A34" t="s">
        <v>413</v>
      </c>
      <c r="B34" t="s">
        <v>419</v>
      </c>
      <c r="C34">
        <f t="shared" si="0"/>
        <v>1</v>
      </c>
      <c r="D34">
        <f t="shared" si="1"/>
        <v>1</v>
      </c>
      <c r="E34">
        <f t="shared" si="2"/>
        <v>1</v>
      </c>
      <c r="F34">
        <f t="shared" si="3"/>
        <v>1</v>
      </c>
    </row>
    <row r="35" spans="1:6" x14ac:dyDescent="0.2">
      <c r="A35" t="s">
        <v>413</v>
      </c>
      <c r="B35" t="s">
        <v>418</v>
      </c>
      <c r="C35">
        <f t="shared" si="0"/>
        <v>1</v>
      </c>
      <c r="D35">
        <f t="shared" si="1"/>
        <v>1</v>
      </c>
      <c r="E35">
        <f t="shared" si="2"/>
        <v>0</v>
      </c>
      <c r="F35">
        <f t="shared" si="3"/>
        <v>2</v>
      </c>
    </row>
    <row r="36" spans="1:6" x14ac:dyDescent="0.2">
      <c r="A36" t="s">
        <v>413</v>
      </c>
      <c r="B36" t="s">
        <v>419</v>
      </c>
      <c r="C36">
        <f t="shared" si="0"/>
        <v>1</v>
      </c>
      <c r="D36">
        <f t="shared" si="1"/>
        <v>1</v>
      </c>
      <c r="E36">
        <f t="shared" si="2"/>
        <v>1</v>
      </c>
      <c r="F36">
        <f t="shared" si="3"/>
        <v>1</v>
      </c>
    </row>
    <row r="37" spans="1:6" x14ac:dyDescent="0.2">
      <c r="A37" t="s">
        <v>415</v>
      </c>
      <c r="B37" t="s">
        <v>419</v>
      </c>
      <c r="C37">
        <f t="shared" si="0"/>
        <v>2</v>
      </c>
      <c r="D37">
        <f t="shared" si="1"/>
        <v>0</v>
      </c>
      <c r="E37">
        <f t="shared" si="2"/>
        <v>1</v>
      </c>
      <c r="F37">
        <f t="shared" si="3"/>
        <v>3</v>
      </c>
    </row>
    <row r="38" spans="1:6" x14ac:dyDescent="0.2">
      <c r="A38" t="s">
        <v>413</v>
      </c>
      <c r="B38" t="s">
        <v>418</v>
      </c>
      <c r="C38">
        <f t="shared" si="0"/>
        <v>1</v>
      </c>
      <c r="D38">
        <f t="shared" si="1"/>
        <v>1</v>
      </c>
      <c r="E38">
        <f t="shared" si="2"/>
        <v>0</v>
      </c>
      <c r="F38">
        <f t="shared" si="3"/>
        <v>2</v>
      </c>
    </row>
    <row r="39" spans="1:6" x14ac:dyDescent="0.2">
      <c r="A39" t="s">
        <v>413</v>
      </c>
      <c r="B39" t="s">
        <v>419</v>
      </c>
      <c r="C39">
        <f t="shared" si="0"/>
        <v>1</v>
      </c>
      <c r="D39">
        <f t="shared" si="1"/>
        <v>1</v>
      </c>
      <c r="E39">
        <f t="shared" si="2"/>
        <v>1</v>
      </c>
      <c r="F39">
        <f t="shared" si="3"/>
        <v>1</v>
      </c>
    </row>
    <row r="40" spans="1:6" x14ac:dyDescent="0.2">
      <c r="A40" t="s">
        <v>413</v>
      </c>
      <c r="B40" t="s">
        <v>419</v>
      </c>
      <c r="C40">
        <f t="shared" si="0"/>
        <v>1</v>
      </c>
      <c r="D40">
        <f t="shared" si="1"/>
        <v>1</v>
      </c>
      <c r="E40">
        <f t="shared" si="2"/>
        <v>1</v>
      </c>
      <c r="F40">
        <f t="shared" si="3"/>
        <v>1</v>
      </c>
    </row>
    <row r="41" spans="1:6" x14ac:dyDescent="0.2">
      <c r="A41" t="s">
        <v>413</v>
      </c>
      <c r="B41" t="s">
        <v>418</v>
      </c>
      <c r="C41">
        <f t="shared" si="0"/>
        <v>1</v>
      </c>
      <c r="D41">
        <f t="shared" si="1"/>
        <v>1</v>
      </c>
      <c r="E41">
        <f t="shared" si="2"/>
        <v>0</v>
      </c>
      <c r="F41">
        <f t="shared" si="3"/>
        <v>2</v>
      </c>
    </row>
    <row r="42" spans="1:6" x14ac:dyDescent="0.2">
      <c r="A42" t="s">
        <v>414</v>
      </c>
      <c r="B42" t="s">
        <v>419</v>
      </c>
      <c r="C42">
        <f t="shared" si="0"/>
        <v>0</v>
      </c>
      <c r="D42">
        <f t="shared" si="1"/>
        <v>0</v>
      </c>
      <c r="E42">
        <f t="shared" si="2"/>
        <v>1</v>
      </c>
      <c r="F42">
        <f t="shared" si="3"/>
        <v>3</v>
      </c>
    </row>
    <row r="43" spans="1:6" x14ac:dyDescent="0.2">
      <c r="A43" t="s">
        <v>413</v>
      </c>
      <c r="B43" t="s">
        <v>419</v>
      </c>
      <c r="C43">
        <f t="shared" si="0"/>
        <v>1</v>
      </c>
      <c r="D43">
        <f t="shared" si="1"/>
        <v>1</v>
      </c>
      <c r="E43">
        <f t="shared" si="2"/>
        <v>1</v>
      </c>
      <c r="F43">
        <f t="shared" si="3"/>
        <v>1</v>
      </c>
    </row>
    <row r="44" spans="1:6" x14ac:dyDescent="0.2">
      <c r="A44" t="s">
        <v>413</v>
      </c>
      <c r="B44" t="s">
        <v>418</v>
      </c>
      <c r="C44">
        <f t="shared" si="0"/>
        <v>1</v>
      </c>
      <c r="D44">
        <f t="shared" si="1"/>
        <v>1</v>
      </c>
      <c r="E44">
        <f t="shared" si="2"/>
        <v>0</v>
      </c>
      <c r="F44">
        <f t="shared" si="3"/>
        <v>2</v>
      </c>
    </row>
    <row r="45" spans="1:6" x14ac:dyDescent="0.2">
      <c r="A45" t="s">
        <v>413</v>
      </c>
      <c r="B45" t="s">
        <v>419</v>
      </c>
      <c r="C45">
        <f t="shared" si="0"/>
        <v>1</v>
      </c>
      <c r="D45">
        <f t="shared" si="1"/>
        <v>1</v>
      </c>
      <c r="E45">
        <f t="shared" si="2"/>
        <v>1</v>
      </c>
      <c r="F45">
        <f t="shared" si="3"/>
        <v>1</v>
      </c>
    </row>
    <row r="46" spans="1:6" x14ac:dyDescent="0.2">
      <c r="A46" t="s">
        <v>414</v>
      </c>
      <c r="B46" t="s">
        <v>418</v>
      </c>
      <c r="C46">
        <f t="shared" si="0"/>
        <v>0</v>
      </c>
      <c r="D46">
        <f t="shared" si="1"/>
        <v>0</v>
      </c>
      <c r="E46">
        <f t="shared" si="2"/>
        <v>0</v>
      </c>
      <c r="F46">
        <f t="shared" si="3"/>
        <v>4</v>
      </c>
    </row>
    <row r="47" spans="1:6" x14ac:dyDescent="0.2">
      <c r="A47" t="s">
        <v>414</v>
      </c>
      <c r="B47" t="s">
        <v>419</v>
      </c>
      <c r="C47">
        <f t="shared" si="0"/>
        <v>0</v>
      </c>
      <c r="D47">
        <f t="shared" si="1"/>
        <v>0</v>
      </c>
      <c r="E47">
        <f t="shared" si="2"/>
        <v>1</v>
      </c>
      <c r="F47">
        <f t="shared" si="3"/>
        <v>3</v>
      </c>
    </row>
    <row r="48" spans="1:6" x14ac:dyDescent="0.2">
      <c r="A48" t="s">
        <v>414</v>
      </c>
      <c r="B48" t="s">
        <v>418</v>
      </c>
      <c r="C48">
        <f t="shared" si="0"/>
        <v>0</v>
      </c>
      <c r="D48">
        <f t="shared" si="1"/>
        <v>0</v>
      </c>
      <c r="E48">
        <f t="shared" si="2"/>
        <v>0</v>
      </c>
      <c r="F48">
        <f t="shared" si="3"/>
        <v>4</v>
      </c>
    </row>
    <row r="49" spans="1:6" x14ac:dyDescent="0.2">
      <c r="A49" t="s">
        <v>414</v>
      </c>
      <c r="B49" t="s">
        <v>419</v>
      </c>
      <c r="C49">
        <f t="shared" si="0"/>
        <v>0</v>
      </c>
      <c r="D49">
        <f t="shared" si="1"/>
        <v>0</v>
      </c>
      <c r="E49">
        <f t="shared" si="2"/>
        <v>1</v>
      </c>
      <c r="F49">
        <f t="shared" si="3"/>
        <v>3</v>
      </c>
    </row>
    <row r="50" spans="1:6" x14ac:dyDescent="0.2">
      <c r="A50" t="s">
        <v>413</v>
      </c>
      <c r="B50" t="s">
        <v>419</v>
      </c>
      <c r="C50">
        <f t="shared" si="0"/>
        <v>1</v>
      </c>
      <c r="D50">
        <f t="shared" si="1"/>
        <v>1</v>
      </c>
      <c r="E50">
        <f t="shared" si="2"/>
        <v>1</v>
      </c>
      <c r="F50">
        <f t="shared" si="3"/>
        <v>1</v>
      </c>
    </row>
    <row r="51" spans="1:6" x14ac:dyDescent="0.2">
      <c r="A51" t="s">
        <v>413</v>
      </c>
      <c r="B51" t="s">
        <v>418</v>
      </c>
      <c r="C51">
        <f t="shared" si="0"/>
        <v>1</v>
      </c>
      <c r="D51">
        <f t="shared" si="1"/>
        <v>1</v>
      </c>
      <c r="E51">
        <f t="shared" si="2"/>
        <v>0</v>
      </c>
      <c r="F51">
        <f t="shared" si="3"/>
        <v>2</v>
      </c>
    </row>
    <row r="52" spans="1:6" x14ac:dyDescent="0.2">
      <c r="A52" t="s">
        <v>413</v>
      </c>
      <c r="B52" t="s">
        <v>418</v>
      </c>
      <c r="C52">
        <f t="shared" si="0"/>
        <v>1</v>
      </c>
      <c r="D52">
        <f t="shared" si="1"/>
        <v>1</v>
      </c>
      <c r="E52">
        <f t="shared" si="2"/>
        <v>0</v>
      </c>
      <c r="F52">
        <f t="shared" si="3"/>
        <v>2</v>
      </c>
    </row>
    <row r="53" spans="1:6" x14ac:dyDescent="0.2">
      <c r="A53" t="s">
        <v>414</v>
      </c>
      <c r="B53" t="s">
        <v>418</v>
      </c>
      <c r="C53">
        <f t="shared" si="0"/>
        <v>0</v>
      </c>
      <c r="D53">
        <f t="shared" si="1"/>
        <v>0</v>
      </c>
      <c r="E53">
        <f t="shared" si="2"/>
        <v>0</v>
      </c>
      <c r="F53">
        <f t="shared" si="3"/>
        <v>4</v>
      </c>
    </row>
    <row r="54" spans="1:6" x14ac:dyDescent="0.2">
      <c r="A54" t="s">
        <v>414</v>
      </c>
      <c r="B54" t="s">
        <v>418</v>
      </c>
      <c r="C54">
        <f t="shared" si="0"/>
        <v>0</v>
      </c>
      <c r="D54">
        <f t="shared" si="1"/>
        <v>0</v>
      </c>
      <c r="E54">
        <f t="shared" si="2"/>
        <v>0</v>
      </c>
      <c r="F54">
        <f t="shared" si="3"/>
        <v>4</v>
      </c>
    </row>
    <row r="55" spans="1:6" x14ac:dyDescent="0.2">
      <c r="A55" t="s">
        <v>414</v>
      </c>
      <c r="B55" t="s">
        <v>419</v>
      </c>
      <c r="C55">
        <f t="shared" si="0"/>
        <v>0</v>
      </c>
      <c r="D55">
        <f t="shared" si="1"/>
        <v>0</v>
      </c>
      <c r="E55">
        <f t="shared" si="2"/>
        <v>1</v>
      </c>
      <c r="F55">
        <f t="shared" si="3"/>
        <v>3</v>
      </c>
    </row>
    <row r="56" spans="1:6" x14ac:dyDescent="0.2">
      <c r="A56" t="s">
        <v>414</v>
      </c>
      <c r="B56" t="s">
        <v>418</v>
      </c>
      <c r="C56">
        <f t="shared" si="0"/>
        <v>0</v>
      </c>
      <c r="D56">
        <f t="shared" si="1"/>
        <v>0</v>
      </c>
      <c r="E56">
        <f t="shared" si="2"/>
        <v>0</v>
      </c>
      <c r="F56">
        <f t="shared" si="3"/>
        <v>4</v>
      </c>
    </row>
    <row r="57" spans="1:6" x14ac:dyDescent="0.2">
      <c r="A57" t="s">
        <v>414</v>
      </c>
      <c r="B57" t="s">
        <v>419</v>
      </c>
      <c r="C57">
        <f t="shared" si="0"/>
        <v>0</v>
      </c>
      <c r="D57">
        <f t="shared" si="1"/>
        <v>0</v>
      </c>
      <c r="E57">
        <f t="shared" si="2"/>
        <v>1</v>
      </c>
      <c r="F57">
        <f t="shared" si="3"/>
        <v>3</v>
      </c>
    </row>
    <row r="58" spans="1:6" x14ac:dyDescent="0.2">
      <c r="A58" t="s">
        <v>413</v>
      </c>
      <c r="B58" t="s">
        <v>418</v>
      </c>
      <c r="C58">
        <f t="shared" si="0"/>
        <v>1</v>
      </c>
      <c r="D58">
        <f t="shared" si="1"/>
        <v>1</v>
      </c>
      <c r="E58">
        <f t="shared" si="2"/>
        <v>0</v>
      </c>
      <c r="F58">
        <f t="shared" si="3"/>
        <v>2</v>
      </c>
    </row>
    <row r="59" spans="1:6" x14ac:dyDescent="0.2">
      <c r="A59" t="s">
        <v>414</v>
      </c>
      <c r="B59" t="s">
        <v>418</v>
      </c>
      <c r="C59">
        <f t="shared" si="0"/>
        <v>0</v>
      </c>
      <c r="D59">
        <f t="shared" si="1"/>
        <v>0</v>
      </c>
      <c r="E59">
        <f t="shared" si="2"/>
        <v>0</v>
      </c>
      <c r="F59">
        <f t="shared" si="3"/>
        <v>4</v>
      </c>
    </row>
    <row r="60" spans="1:6" x14ac:dyDescent="0.2">
      <c r="A60" t="s">
        <v>413</v>
      </c>
      <c r="B60" t="s">
        <v>418</v>
      </c>
      <c r="C60">
        <f t="shared" si="0"/>
        <v>1</v>
      </c>
      <c r="D60">
        <f t="shared" si="1"/>
        <v>1</v>
      </c>
      <c r="E60">
        <f t="shared" si="2"/>
        <v>0</v>
      </c>
      <c r="F60">
        <f t="shared" si="3"/>
        <v>2</v>
      </c>
    </row>
    <row r="61" spans="1:6" x14ac:dyDescent="0.2">
      <c r="A61" t="s">
        <v>413</v>
      </c>
      <c r="B61" t="s">
        <v>418</v>
      </c>
      <c r="C61">
        <f t="shared" si="0"/>
        <v>1</v>
      </c>
      <c r="D61">
        <f t="shared" si="1"/>
        <v>1</v>
      </c>
      <c r="E61">
        <f t="shared" si="2"/>
        <v>0</v>
      </c>
      <c r="F61">
        <f t="shared" si="3"/>
        <v>2</v>
      </c>
    </row>
    <row r="62" spans="1:6" x14ac:dyDescent="0.2">
      <c r="A62" t="s">
        <v>413</v>
      </c>
      <c r="B62" t="s">
        <v>419</v>
      </c>
      <c r="C62">
        <f t="shared" si="0"/>
        <v>1</v>
      </c>
      <c r="D62">
        <f t="shared" si="1"/>
        <v>1</v>
      </c>
      <c r="E62">
        <f t="shared" si="2"/>
        <v>1</v>
      </c>
      <c r="F62">
        <f t="shared" si="3"/>
        <v>1</v>
      </c>
    </row>
    <row r="63" spans="1:6" x14ac:dyDescent="0.2">
      <c r="A63" t="s">
        <v>414</v>
      </c>
      <c r="B63" t="s">
        <v>419</v>
      </c>
      <c r="C63">
        <f t="shared" si="0"/>
        <v>0</v>
      </c>
      <c r="D63">
        <f t="shared" si="1"/>
        <v>0</v>
      </c>
      <c r="E63">
        <f t="shared" si="2"/>
        <v>1</v>
      </c>
      <c r="F63">
        <f t="shared" si="3"/>
        <v>3</v>
      </c>
    </row>
    <row r="64" spans="1:6" x14ac:dyDescent="0.2">
      <c r="A64" t="s">
        <v>414</v>
      </c>
      <c r="B64" t="s">
        <v>419</v>
      </c>
      <c r="C64">
        <f t="shared" si="0"/>
        <v>0</v>
      </c>
      <c r="D64">
        <f t="shared" si="1"/>
        <v>0</v>
      </c>
      <c r="E64">
        <f t="shared" si="2"/>
        <v>1</v>
      </c>
      <c r="F64">
        <f t="shared" si="3"/>
        <v>3</v>
      </c>
    </row>
    <row r="65" spans="1:6" x14ac:dyDescent="0.2">
      <c r="A65" t="s">
        <v>414</v>
      </c>
      <c r="B65" t="s">
        <v>419</v>
      </c>
      <c r="C65">
        <f t="shared" si="0"/>
        <v>0</v>
      </c>
      <c r="D65">
        <f t="shared" si="1"/>
        <v>0</v>
      </c>
      <c r="E65">
        <f t="shared" si="2"/>
        <v>1</v>
      </c>
      <c r="F65">
        <f t="shared" si="3"/>
        <v>3</v>
      </c>
    </row>
    <row r="66" spans="1:6" x14ac:dyDescent="0.2">
      <c r="A66" t="s">
        <v>414</v>
      </c>
      <c r="B66" t="s">
        <v>418</v>
      </c>
      <c r="C66">
        <f t="shared" si="0"/>
        <v>0</v>
      </c>
      <c r="D66">
        <f t="shared" si="1"/>
        <v>0</v>
      </c>
      <c r="E66">
        <f t="shared" si="2"/>
        <v>0</v>
      </c>
      <c r="F66">
        <f t="shared" si="3"/>
        <v>4</v>
      </c>
    </row>
    <row r="67" spans="1:6" x14ac:dyDescent="0.2">
      <c r="A67" t="s">
        <v>413</v>
      </c>
      <c r="B67" t="s">
        <v>418</v>
      </c>
      <c r="C67">
        <f t="shared" ref="C67:C130" si="4">IF(A67="ASD",1,IF(A67="CON",0,2))</f>
        <v>1</v>
      </c>
      <c r="D67">
        <f t="shared" ref="D67:D130" si="5">IF(A67="ASD",1,0)</f>
        <v>1</v>
      </c>
      <c r="E67">
        <f t="shared" ref="E67:E130" si="6">IF(B67="M",0,1)</f>
        <v>0</v>
      </c>
      <c r="F67">
        <f t="shared" ref="F67:F130" si="7">IF(AND(A67="ASD",B67="F"),1,IF(AND(A67="ASD",B67="M"),2,IF(AND(A67&lt;&gt;"ASD",B67="F"),3,4)))</f>
        <v>2</v>
      </c>
    </row>
    <row r="68" spans="1:6" x14ac:dyDescent="0.2">
      <c r="A68" t="s">
        <v>413</v>
      </c>
      <c r="B68" t="s">
        <v>418</v>
      </c>
      <c r="C68">
        <f t="shared" si="4"/>
        <v>1</v>
      </c>
      <c r="D68">
        <f t="shared" si="5"/>
        <v>1</v>
      </c>
      <c r="E68">
        <f t="shared" si="6"/>
        <v>0</v>
      </c>
      <c r="F68">
        <f t="shared" si="7"/>
        <v>2</v>
      </c>
    </row>
    <row r="69" spans="1:6" x14ac:dyDescent="0.2">
      <c r="A69" t="s">
        <v>413</v>
      </c>
      <c r="B69" t="s">
        <v>418</v>
      </c>
      <c r="C69">
        <f t="shared" si="4"/>
        <v>1</v>
      </c>
      <c r="D69">
        <f t="shared" si="5"/>
        <v>1</v>
      </c>
      <c r="E69">
        <f t="shared" si="6"/>
        <v>0</v>
      </c>
      <c r="F69">
        <f t="shared" si="7"/>
        <v>2</v>
      </c>
    </row>
    <row r="70" spans="1:6" x14ac:dyDescent="0.2">
      <c r="A70" t="s">
        <v>415</v>
      </c>
      <c r="B70" t="s">
        <v>418</v>
      </c>
      <c r="C70">
        <f t="shared" si="4"/>
        <v>2</v>
      </c>
      <c r="D70">
        <f t="shared" si="5"/>
        <v>0</v>
      </c>
      <c r="E70">
        <f t="shared" si="6"/>
        <v>0</v>
      </c>
      <c r="F70">
        <f t="shared" si="7"/>
        <v>4</v>
      </c>
    </row>
    <row r="71" spans="1:6" x14ac:dyDescent="0.2">
      <c r="A71" t="s">
        <v>413</v>
      </c>
      <c r="B71" t="s">
        <v>419</v>
      </c>
      <c r="C71">
        <f t="shared" si="4"/>
        <v>1</v>
      </c>
      <c r="D71">
        <f t="shared" si="5"/>
        <v>1</v>
      </c>
      <c r="E71">
        <f t="shared" si="6"/>
        <v>1</v>
      </c>
      <c r="F71">
        <f t="shared" si="7"/>
        <v>1</v>
      </c>
    </row>
    <row r="72" spans="1:6" x14ac:dyDescent="0.2">
      <c r="A72" t="s">
        <v>413</v>
      </c>
      <c r="B72" t="s">
        <v>419</v>
      </c>
      <c r="C72">
        <f t="shared" si="4"/>
        <v>1</v>
      </c>
      <c r="D72">
        <f t="shared" si="5"/>
        <v>1</v>
      </c>
      <c r="E72">
        <f t="shared" si="6"/>
        <v>1</v>
      </c>
      <c r="F72">
        <f t="shared" si="7"/>
        <v>1</v>
      </c>
    </row>
    <row r="73" spans="1:6" x14ac:dyDescent="0.2">
      <c r="A73" t="s">
        <v>415</v>
      </c>
      <c r="B73" t="s">
        <v>419</v>
      </c>
      <c r="C73">
        <f t="shared" si="4"/>
        <v>2</v>
      </c>
      <c r="D73">
        <f t="shared" si="5"/>
        <v>0</v>
      </c>
      <c r="E73">
        <f t="shared" si="6"/>
        <v>1</v>
      </c>
      <c r="F73">
        <f t="shared" si="7"/>
        <v>3</v>
      </c>
    </row>
    <row r="74" spans="1:6" x14ac:dyDescent="0.2">
      <c r="A74" t="s">
        <v>413</v>
      </c>
      <c r="B74" t="s">
        <v>418</v>
      </c>
      <c r="C74">
        <f t="shared" si="4"/>
        <v>1</v>
      </c>
      <c r="D74">
        <f t="shared" si="5"/>
        <v>1</v>
      </c>
      <c r="E74">
        <f t="shared" si="6"/>
        <v>0</v>
      </c>
      <c r="F74">
        <f t="shared" si="7"/>
        <v>2</v>
      </c>
    </row>
    <row r="75" spans="1:6" x14ac:dyDescent="0.2">
      <c r="A75" t="s">
        <v>413</v>
      </c>
      <c r="B75" t="s">
        <v>419</v>
      </c>
      <c r="C75">
        <f t="shared" si="4"/>
        <v>1</v>
      </c>
      <c r="D75">
        <f t="shared" si="5"/>
        <v>1</v>
      </c>
      <c r="E75">
        <f t="shared" si="6"/>
        <v>1</v>
      </c>
      <c r="F75">
        <f t="shared" si="7"/>
        <v>1</v>
      </c>
    </row>
    <row r="76" spans="1:6" x14ac:dyDescent="0.2">
      <c r="A76" t="s">
        <v>415</v>
      </c>
      <c r="B76" t="s">
        <v>419</v>
      </c>
      <c r="C76">
        <f t="shared" si="4"/>
        <v>2</v>
      </c>
      <c r="D76">
        <f t="shared" si="5"/>
        <v>0</v>
      </c>
      <c r="E76">
        <f t="shared" si="6"/>
        <v>1</v>
      </c>
      <c r="F76">
        <f t="shared" si="7"/>
        <v>3</v>
      </c>
    </row>
    <row r="77" spans="1:6" x14ac:dyDescent="0.2">
      <c r="A77" t="s">
        <v>413</v>
      </c>
      <c r="B77" t="s">
        <v>418</v>
      </c>
      <c r="C77">
        <f t="shared" si="4"/>
        <v>1</v>
      </c>
      <c r="D77">
        <f t="shared" si="5"/>
        <v>1</v>
      </c>
      <c r="E77">
        <f t="shared" si="6"/>
        <v>0</v>
      </c>
      <c r="F77">
        <f t="shared" si="7"/>
        <v>2</v>
      </c>
    </row>
    <row r="78" spans="1:6" x14ac:dyDescent="0.2">
      <c r="A78" t="s">
        <v>413</v>
      </c>
      <c r="B78" t="s">
        <v>419</v>
      </c>
      <c r="C78">
        <f t="shared" si="4"/>
        <v>1</v>
      </c>
      <c r="D78">
        <f t="shared" si="5"/>
        <v>1</v>
      </c>
      <c r="E78">
        <f t="shared" si="6"/>
        <v>1</v>
      </c>
      <c r="F78">
        <f t="shared" si="7"/>
        <v>1</v>
      </c>
    </row>
    <row r="79" spans="1:6" x14ac:dyDescent="0.2">
      <c r="A79" t="s">
        <v>415</v>
      </c>
      <c r="B79" t="s">
        <v>418</v>
      </c>
      <c r="C79">
        <f t="shared" si="4"/>
        <v>2</v>
      </c>
      <c r="D79">
        <f t="shared" si="5"/>
        <v>0</v>
      </c>
      <c r="E79">
        <f t="shared" si="6"/>
        <v>0</v>
      </c>
      <c r="F79">
        <f t="shared" si="7"/>
        <v>4</v>
      </c>
    </row>
    <row r="80" spans="1:6" x14ac:dyDescent="0.2">
      <c r="A80" t="s">
        <v>413</v>
      </c>
      <c r="B80" t="s">
        <v>419</v>
      </c>
      <c r="C80">
        <f t="shared" si="4"/>
        <v>1</v>
      </c>
      <c r="D80">
        <f t="shared" si="5"/>
        <v>1</v>
      </c>
      <c r="E80">
        <f t="shared" si="6"/>
        <v>1</v>
      </c>
      <c r="F80">
        <f t="shared" si="7"/>
        <v>1</v>
      </c>
    </row>
    <row r="81" spans="1:6" x14ac:dyDescent="0.2">
      <c r="A81" t="s">
        <v>414</v>
      </c>
      <c r="B81" t="s">
        <v>419</v>
      </c>
      <c r="C81">
        <f t="shared" si="4"/>
        <v>0</v>
      </c>
      <c r="D81">
        <f t="shared" si="5"/>
        <v>0</v>
      </c>
      <c r="E81">
        <f t="shared" si="6"/>
        <v>1</v>
      </c>
      <c r="F81">
        <f t="shared" si="7"/>
        <v>3</v>
      </c>
    </row>
    <row r="82" spans="1:6" x14ac:dyDescent="0.2">
      <c r="A82" t="s">
        <v>414</v>
      </c>
      <c r="B82" t="s">
        <v>419</v>
      </c>
      <c r="C82">
        <f t="shared" si="4"/>
        <v>0</v>
      </c>
      <c r="D82">
        <f t="shared" si="5"/>
        <v>0</v>
      </c>
      <c r="E82">
        <f t="shared" si="6"/>
        <v>1</v>
      </c>
      <c r="F82">
        <f t="shared" si="7"/>
        <v>3</v>
      </c>
    </row>
    <row r="83" spans="1:6" x14ac:dyDescent="0.2">
      <c r="A83" t="s">
        <v>413</v>
      </c>
      <c r="B83" t="s">
        <v>418</v>
      </c>
      <c r="C83">
        <f t="shared" si="4"/>
        <v>1</v>
      </c>
      <c r="D83">
        <f t="shared" si="5"/>
        <v>1</v>
      </c>
      <c r="E83">
        <f t="shared" si="6"/>
        <v>0</v>
      </c>
      <c r="F83">
        <f t="shared" si="7"/>
        <v>2</v>
      </c>
    </row>
    <row r="84" spans="1:6" x14ac:dyDescent="0.2">
      <c r="A84" t="s">
        <v>413</v>
      </c>
      <c r="B84" t="s">
        <v>419</v>
      </c>
      <c r="C84">
        <f t="shared" si="4"/>
        <v>1</v>
      </c>
      <c r="D84">
        <f t="shared" si="5"/>
        <v>1</v>
      </c>
      <c r="E84">
        <f t="shared" si="6"/>
        <v>1</v>
      </c>
      <c r="F84">
        <f t="shared" si="7"/>
        <v>1</v>
      </c>
    </row>
    <row r="85" spans="1:6" x14ac:dyDescent="0.2">
      <c r="A85" t="s">
        <v>414</v>
      </c>
      <c r="B85" t="s">
        <v>419</v>
      </c>
      <c r="C85">
        <f t="shared" si="4"/>
        <v>0</v>
      </c>
      <c r="D85">
        <f t="shared" si="5"/>
        <v>0</v>
      </c>
      <c r="E85">
        <f t="shared" si="6"/>
        <v>1</v>
      </c>
      <c r="F85">
        <f t="shared" si="7"/>
        <v>3</v>
      </c>
    </row>
    <row r="86" spans="1:6" x14ac:dyDescent="0.2">
      <c r="A86" t="s">
        <v>413</v>
      </c>
      <c r="B86" t="s">
        <v>419</v>
      </c>
      <c r="C86">
        <f t="shared" si="4"/>
        <v>1</v>
      </c>
      <c r="D86">
        <f t="shared" si="5"/>
        <v>1</v>
      </c>
      <c r="E86">
        <f t="shared" si="6"/>
        <v>1</v>
      </c>
      <c r="F86">
        <f t="shared" si="7"/>
        <v>1</v>
      </c>
    </row>
    <row r="87" spans="1:6" x14ac:dyDescent="0.2">
      <c r="A87" t="s">
        <v>415</v>
      </c>
      <c r="B87" t="s">
        <v>419</v>
      </c>
      <c r="C87">
        <f t="shared" si="4"/>
        <v>2</v>
      </c>
      <c r="D87">
        <f t="shared" si="5"/>
        <v>0</v>
      </c>
      <c r="E87">
        <f t="shared" si="6"/>
        <v>1</v>
      </c>
      <c r="F87">
        <f t="shared" si="7"/>
        <v>3</v>
      </c>
    </row>
    <row r="88" spans="1:6" x14ac:dyDescent="0.2">
      <c r="A88" t="s">
        <v>413</v>
      </c>
      <c r="B88" t="s">
        <v>419</v>
      </c>
      <c r="C88">
        <f t="shared" si="4"/>
        <v>1</v>
      </c>
      <c r="D88">
        <f t="shared" si="5"/>
        <v>1</v>
      </c>
      <c r="E88">
        <f t="shared" si="6"/>
        <v>1</v>
      </c>
      <c r="F88">
        <f t="shared" si="7"/>
        <v>1</v>
      </c>
    </row>
    <row r="89" spans="1:6" x14ac:dyDescent="0.2">
      <c r="A89" t="s">
        <v>415</v>
      </c>
      <c r="B89" t="s">
        <v>419</v>
      </c>
      <c r="C89">
        <f t="shared" si="4"/>
        <v>2</v>
      </c>
      <c r="D89">
        <f t="shared" si="5"/>
        <v>0</v>
      </c>
      <c r="E89">
        <f t="shared" si="6"/>
        <v>1</v>
      </c>
      <c r="F89">
        <f t="shared" si="7"/>
        <v>3</v>
      </c>
    </row>
    <row r="90" spans="1:6" x14ac:dyDescent="0.2">
      <c r="A90" t="s">
        <v>413</v>
      </c>
      <c r="B90" t="s">
        <v>419</v>
      </c>
      <c r="C90">
        <f t="shared" si="4"/>
        <v>1</v>
      </c>
      <c r="D90">
        <f t="shared" si="5"/>
        <v>1</v>
      </c>
      <c r="E90">
        <f t="shared" si="6"/>
        <v>1</v>
      </c>
      <c r="F90">
        <f t="shared" si="7"/>
        <v>1</v>
      </c>
    </row>
    <row r="91" spans="1:6" x14ac:dyDescent="0.2">
      <c r="A91" t="s">
        <v>414</v>
      </c>
      <c r="B91" t="s">
        <v>419</v>
      </c>
      <c r="C91">
        <f t="shared" si="4"/>
        <v>0</v>
      </c>
      <c r="D91">
        <f t="shared" si="5"/>
        <v>0</v>
      </c>
      <c r="E91">
        <f t="shared" si="6"/>
        <v>1</v>
      </c>
      <c r="F91">
        <f t="shared" si="7"/>
        <v>3</v>
      </c>
    </row>
    <row r="92" spans="1:6" x14ac:dyDescent="0.2">
      <c r="A92" t="s">
        <v>413</v>
      </c>
      <c r="B92" t="s">
        <v>418</v>
      </c>
      <c r="C92">
        <f t="shared" si="4"/>
        <v>1</v>
      </c>
      <c r="D92">
        <f t="shared" si="5"/>
        <v>1</v>
      </c>
      <c r="E92">
        <f t="shared" si="6"/>
        <v>0</v>
      </c>
      <c r="F92">
        <f t="shared" si="7"/>
        <v>2</v>
      </c>
    </row>
    <row r="93" spans="1:6" x14ac:dyDescent="0.2">
      <c r="A93" t="s">
        <v>415</v>
      </c>
      <c r="B93" t="s">
        <v>419</v>
      </c>
      <c r="C93">
        <f t="shared" si="4"/>
        <v>2</v>
      </c>
      <c r="D93">
        <f t="shared" si="5"/>
        <v>0</v>
      </c>
      <c r="E93">
        <f t="shared" si="6"/>
        <v>1</v>
      </c>
      <c r="F93">
        <f t="shared" si="7"/>
        <v>3</v>
      </c>
    </row>
    <row r="94" spans="1:6" x14ac:dyDescent="0.2">
      <c r="A94" t="s">
        <v>413</v>
      </c>
      <c r="B94" t="s">
        <v>419</v>
      </c>
      <c r="C94">
        <f t="shared" si="4"/>
        <v>1</v>
      </c>
      <c r="D94">
        <f t="shared" si="5"/>
        <v>1</v>
      </c>
      <c r="E94">
        <f t="shared" si="6"/>
        <v>1</v>
      </c>
      <c r="F94">
        <f t="shared" si="7"/>
        <v>1</v>
      </c>
    </row>
    <row r="95" spans="1:6" x14ac:dyDescent="0.2">
      <c r="A95" t="s">
        <v>415</v>
      </c>
      <c r="B95" t="s">
        <v>419</v>
      </c>
      <c r="C95">
        <f t="shared" si="4"/>
        <v>2</v>
      </c>
      <c r="D95">
        <f t="shared" si="5"/>
        <v>0</v>
      </c>
      <c r="E95">
        <f t="shared" si="6"/>
        <v>1</v>
      </c>
      <c r="F95">
        <f t="shared" si="7"/>
        <v>3</v>
      </c>
    </row>
    <row r="96" spans="1:6" x14ac:dyDescent="0.2">
      <c r="A96" t="s">
        <v>413</v>
      </c>
      <c r="B96" t="s">
        <v>419</v>
      </c>
      <c r="C96">
        <f t="shared" si="4"/>
        <v>1</v>
      </c>
      <c r="D96">
        <f t="shared" si="5"/>
        <v>1</v>
      </c>
      <c r="E96">
        <f t="shared" si="6"/>
        <v>1</v>
      </c>
      <c r="F96">
        <f t="shared" si="7"/>
        <v>1</v>
      </c>
    </row>
    <row r="97" spans="1:6" x14ac:dyDescent="0.2">
      <c r="A97" t="s">
        <v>415</v>
      </c>
      <c r="B97" t="s">
        <v>419</v>
      </c>
      <c r="C97">
        <f t="shared" si="4"/>
        <v>2</v>
      </c>
      <c r="D97">
        <f t="shared" si="5"/>
        <v>0</v>
      </c>
      <c r="E97">
        <f t="shared" si="6"/>
        <v>1</v>
      </c>
      <c r="F97">
        <f t="shared" si="7"/>
        <v>3</v>
      </c>
    </row>
    <row r="98" spans="1:6" x14ac:dyDescent="0.2">
      <c r="A98" t="s">
        <v>413</v>
      </c>
      <c r="B98" t="s">
        <v>419</v>
      </c>
      <c r="C98">
        <f t="shared" si="4"/>
        <v>1</v>
      </c>
      <c r="D98">
        <f t="shared" si="5"/>
        <v>1</v>
      </c>
      <c r="E98">
        <f t="shared" si="6"/>
        <v>1</v>
      </c>
      <c r="F98">
        <f t="shared" si="7"/>
        <v>1</v>
      </c>
    </row>
    <row r="99" spans="1:6" x14ac:dyDescent="0.2">
      <c r="A99" t="s">
        <v>413</v>
      </c>
      <c r="B99" t="s">
        <v>419</v>
      </c>
      <c r="C99">
        <f t="shared" si="4"/>
        <v>1</v>
      </c>
      <c r="D99">
        <f t="shared" si="5"/>
        <v>1</v>
      </c>
      <c r="E99">
        <f t="shared" si="6"/>
        <v>1</v>
      </c>
      <c r="F99">
        <f t="shared" si="7"/>
        <v>1</v>
      </c>
    </row>
    <row r="100" spans="1:6" x14ac:dyDescent="0.2">
      <c r="A100" t="s">
        <v>413</v>
      </c>
      <c r="B100" t="s">
        <v>419</v>
      </c>
      <c r="C100">
        <f t="shared" si="4"/>
        <v>1</v>
      </c>
      <c r="D100">
        <f t="shared" si="5"/>
        <v>1</v>
      </c>
      <c r="E100">
        <f t="shared" si="6"/>
        <v>1</v>
      </c>
      <c r="F100">
        <f t="shared" si="7"/>
        <v>1</v>
      </c>
    </row>
    <row r="101" spans="1:6" x14ac:dyDescent="0.2">
      <c r="A101" t="s">
        <v>413</v>
      </c>
      <c r="B101" t="s">
        <v>418</v>
      </c>
      <c r="C101">
        <f t="shared" si="4"/>
        <v>1</v>
      </c>
      <c r="D101">
        <f t="shared" si="5"/>
        <v>1</v>
      </c>
      <c r="E101">
        <f t="shared" si="6"/>
        <v>0</v>
      </c>
      <c r="F101">
        <f t="shared" si="7"/>
        <v>2</v>
      </c>
    </row>
    <row r="102" spans="1:6" x14ac:dyDescent="0.2">
      <c r="A102" t="s">
        <v>415</v>
      </c>
      <c r="B102" t="s">
        <v>419</v>
      </c>
      <c r="C102">
        <f t="shared" si="4"/>
        <v>2</v>
      </c>
      <c r="D102">
        <f t="shared" si="5"/>
        <v>0</v>
      </c>
      <c r="E102">
        <f t="shared" si="6"/>
        <v>1</v>
      </c>
      <c r="F102">
        <f t="shared" si="7"/>
        <v>3</v>
      </c>
    </row>
    <row r="103" spans="1:6" x14ac:dyDescent="0.2">
      <c r="A103" t="s">
        <v>414</v>
      </c>
      <c r="B103" t="s">
        <v>418</v>
      </c>
      <c r="C103">
        <f t="shared" si="4"/>
        <v>0</v>
      </c>
      <c r="D103">
        <f t="shared" si="5"/>
        <v>0</v>
      </c>
      <c r="E103">
        <f t="shared" si="6"/>
        <v>0</v>
      </c>
      <c r="F103">
        <f t="shared" si="7"/>
        <v>4</v>
      </c>
    </row>
    <row r="104" spans="1:6" x14ac:dyDescent="0.2">
      <c r="A104" t="s">
        <v>414</v>
      </c>
      <c r="B104" t="s">
        <v>418</v>
      </c>
      <c r="C104">
        <f t="shared" si="4"/>
        <v>0</v>
      </c>
      <c r="D104">
        <f t="shared" si="5"/>
        <v>0</v>
      </c>
      <c r="E104">
        <f t="shared" si="6"/>
        <v>0</v>
      </c>
      <c r="F104">
        <f t="shared" si="7"/>
        <v>4</v>
      </c>
    </row>
    <row r="105" spans="1:6" x14ac:dyDescent="0.2">
      <c r="A105" t="s">
        <v>414</v>
      </c>
      <c r="B105" t="s">
        <v>418</v>
      </c>
      <c r="C105">
        <f t="shared" si="4"/>
        <v>0</v>
      </c>
      <c r="D105">
        <f t="shared" si="5"/>
        <v>0</v>
      </c>
      <c r="E105">
        <f t="shared" si="6"/>
        <v>0</v>
      </c>
      <c r="F105">
        <f t="shared" si="7"/>
        <v>4</v>
      </c>
    </row>
    <row r="106" spans="1:6" x14ac:dyDescent="0.2">
      <c r="A106" t="s">
        <v>414</v>
      </c>
      <c r="B106" t="s">
        <v>418</v>
      </c>
      <c r="C106">
        <f t="shared" si="4"/>
        <v>0</v>
      </c>
      <c r="D106">
        <f t="shared" si="5"/>
        <v>0</v>
      </c>
      <c r="E106">
        <f t="shared" si="6"/>
        <v>0</v>
      </c>
      <c r="F106">
        <f t="shared" si="7"/>
        <v>4</v>
      </c>
    </row>
    <row r="107" spans="1:6" x14ac:dyDescent="0.2">
      <c r="A107" t="s">
        <v>414</v>
      </c>
      <c r="B107" t="s">
        <v>419</v>
      </c>
      <c r="C107">
        <f t="shared" si="4"/>
        <v>0</v>
      </c>
      <c r="D107">
        <f t="shared" si="5"/>
        <v>0</v>
      </c>
      <c r="E107">
        <f t="shared" si="6"/>
        <v>1</v>
      </c>
      <c r="F107">
        <f t="shared" si="7"/>
        <v>3</v>
      </c>
    </row>
    <row r="108" spans="1:6" x14ac:dyDescent="0.2">
      <c r="A108" t="s">
        <v>414</v>
      </c>
      <c r="B108" t="s">
        <v>418</v>
      </c>
      <c r="C108">
        <f t="shared" si="4"/>
        <v>0</v>
      </c>
      <c r="D108">
        <f t="shared" si="5"/>
        <v>0</v>
      </c>
      <c r="E108">
        <f t="shared" si="6"/>
        <v>0</v>
      </c>
      <c r="F108">
        <f t="shared" si="7"/>
        <v>4</v>
      </c>
    </row>
    <row r="109" spans="1:6" x14ac:dyDescent="0.2">
      <c r="A109" t="s">
        <v>414</v>
      </c>
      <c r="B109" t="s">
        <v>419</v>
      </c>
      <c r="C109">
        <f t="shared" si="4"/>
        <v>0</v>
      </c>
      <c r="D109">
        <f t="shared" si="5"/>
        <v>0</v>
      </c>
      <c r="E109">
        <f t="shared" si="6"/>
        <v>1</v>
      </c>
      <c r="F109">
        <f t="shared" si="7"/>
        <v>3</v>
      </c>
    </row>
    <row r="110" spans="1:6" x14ac:dyDescent="0.2">
      <c r="A110" t="s">
        <v>413</v>
      </c>
      <c r="B110" t="s">
        <v>418</v>
      </c>
      <c r="C110">
        <f t="shared" si="4"/>
        <v>1</v>
      </c>
      <c r="D110">
        <f t="shared" si="5"/>
        <v>1</v>
      </c>
      <c r="E110">
        <f t="shared" si="6"/>
        <v>0</v>
      </c>
      <c r="F110">
        <f t="shared" si="7"/>
        <v>2</v>
      </c>
    </row>
    <row r="111" spans="1:6" x14ac:dyDescent="0.2">
      <c r="A111" t="s">
        <v>414</v>
      </c>
      <c r="B111" t="s">
        <v>418</v>
      </c>
      <c r="C111">
        <f t="shared" si="4"/>
        <v>0</v>
      </c>
      <c r="D111">
        <f t="shared" si="5"/>
        <v>0</v>
      </c>
      <c r="E111">
        <f t="shared" si="6"/>
        <v>0</v>
      </c>
      <c r="F111">
        <f t="shared" si="7"/>
        <v>4</v>
      </c>
    </row>
    <row r="112" spans="1:6" x14ac:dyDescent="0.2">
      <c r="A112" t="s">
        <v>414</v>
      </c>
      <c r="B112" t="s">
        <v>418</v>
      </c>
      <c r="C112">
        <f t="shared" si="4"/>
        <v>0</v>
      </c>
      <c r="D112">
        <f t="shared" si="5"/>
        <v>0</v>
      </c>
      <c r="E112">
        <f t="shared" si="6"/>
        <v>0</v>
      </c>
      <c r="F112">
        <f t="shared" si="7"/>
        <v>4</v>
      </c>
    </row>
    <row r="113" spans="1:6" x14ac:dyDescent="0.2">
      <c r="A113" t="s">
        <v>413</v>
      </c>
      <c r="B113" t="s">
        <v>419</v>
      </c>
      <c r="C113">
        <f t="shared" si="4"/>
        <v>1</v>
      </c>
      <c r="D113">
        <f t="shared" si="5"/>
        <v>1</v>
      </c>
      <c r="E113">
        <f t="shared" si="6"/>
        <v>1</v>
      </c>
      <c r="F113">
        <f t="shared" si="7"/>
        <v>1</v>
      </c>
    </row>
    <row r="114" spans="1:6" x14ac:dyDescent="0.2">
      <c r="A114" t="s">
        <v>413</v>
      </c>
      <c r="B114" t="s">
        <v>418</v>
      </c>
      <c r="C114">
        <f t="shared" si="4"/>
        <v>1</v>
      </c>
      <c r="D114">
        <f t="shared" si="5"/>
        <v>1</v>
      </c>
      <c r="E114">
        <f t="shared" si="6"/>
        <v>0</v>
      </c>
      <c r="F114">
        <f t="shared" si="7"/>
        <v>2</v>
      </c>
    </row>
    <row r="115" spans="1:6" x14ac:dyDescent="0.2">
      <c r="A115" t="s">
        <v>413</v>
      </c>
      <c r="B115" t="s">
        <v>418</v>
      </c>
      <c r="C115">
        <f t="shared" si="4"/>
        <v>1</v>
      </c>
      <c r="D115">
        <f t="shared" si="5"/>
        <v>1</v>
      </c>
      <c r="E115">
        <f t="shared" si="6"/>
        <v>0</v>
      </c>
      <c r="F115">
        <f t="shared" si="7"/>
        <v>2</v>
      </c>
    </row>
    <row r="116" spans="1:6" x14ac:dyDescent="0.2">
      <c r="A116" t="s">
        <v>413</v>
      </c>
      <c r="B116" t="s">
        <v>419</v>
      </c>
      <c r="C116">
        <f t="shared" si="4"/>
        <v>1</v>
      </c>
      <c r="D116">
        <f t="shared" si="5"/>
        <v>1</v>
      </c>
      <c r="E116">
        <f t="shared" si="6"/>
        <v>1</v>
      </c>
      <c r="F116">
        <f t="shared" si="7"/>
        <v>1</v>
      </c>
    </row>
    <row r="117" spans="1:6" x14ac:dyDescent="0.2">
      <c r="A117" t="s">
        <v>414</v>
      </c>
      <c r="B117" t="s">
        <v>419</v>
      </c>
      <c r="C117">
        <f t="shared" si="4"/>
        <v>0</v>
      </c>
      <c r="D117">
        <f t="shared" si="5"/>
        <v>0</v>
      </c>
      <c r="E117">
        <f t="shared" si="6"/>
        <v>1</v>
      </c>
      <c r="F117">
        <f t="shared" si="7"/>
        <v>3</v>
      </c>
    </row>
    <row r="118" spans="1:6" x14ac:dyDescent="0.2">
      <c r="A118" t="s">
        <v>413</v>
      </c>
      <c r="B118" t="s">
        <v>418</v>
      </c>
      <c r="C118">
        <f t="shared" si="4"/>
        <v>1</v>
      </c>
      <c r="D118">
        <f t="shared" si="5"/>
        <v>1</v>
      </c>
      <c r="E118">
        <f t="shared" si="6"/>
        <v>0</v>
      </c>
      <c r="F118">
        <f t="shared" si="7"/>
        <v>2</v>
      </c>
    </row>
    <row r="119" spans="1:6" x14ac:dyDescent="0.2">
      <c r="A119" t="s">
        <v>413</v>
      </c>
      <c r="B119" t="s">
        <v>418</v>
      </c>
      <c r="C119">
        <f t="shared" si="4"/>
        <v>1</v>
      </c>
      <c r="D119">
        <f t="shared" si="5"/>
        <v>1</v>
      </c>
      <c r="E119">
        <f t="shared" si="6"/>
        <v>0</v>
      </c>
      <c r="F119">
        <f t="shared" si="7"/>
        <v>2</v>
      </c>
    </row>
    <row r="120" spans="1:6" x14ac:dyDescent="0.2">
      <c r="A120" t="s">
        <v>415</v>
      </c>
      <c r="B120" t="s">
        <v>419</v>
      </c>
      <c r="C120">
        <f t="shared" si="4"/>
        <v>2</v>
      </c>
      <c r="D120">
        <f t="shared" si="5"/>
        <v>0</v>
      </c>
      <c r="E120">
        <f t="shared" si="6"/>
        <v>1</v>
      </c>
      <c r="F120">
        <f t="shared" si="7"/>
        <v>3</v>
      </c>
    </row>
    <row r="121" spans="1:6" x14ac:dyDescent="0.2">
      <c r="A121" t="s">
        <v>413</v>
      </c>
      <c r="B121" t="s">
        <v>419</v>
      </c>
      <c r="C121">
        <f t="shared" si="4"/>
        <v>1</v>
      </c>
      <c r="D121">
        <f t="shared" si="5"/>
        <v>1</v>
      </c>
      <c r="E121">
        <f t="shared" si="6"/>
        <v>1</v>
      </c>
      <c r="F121">
        <f t="shared" si="7"/>
        <v>1</v>
      </c>
    </row>
    <row r="122" spans="1:6" x14ac:dyDescent="0.2">
      <c r="A122" t="s">
        <v>415</v>
      </c>
      <c r="B122" t="s">
        <v>418</v>
      </c>
      <c r="C122">
        <f t="shared" si="4"/>
        <v>2</v>
      </c>
      <c r="D122">
        <f t="shared" si="5"/>
        <v>0</v>
      </c>
      <c r="E122">
        <f t="shared" si="6"/>
        <v>0</v>
      </c>
      <c r="F122">
        <f t="shared" si="7"/>
        <v>4</v>
      </c>
    </row>
    <row r="123" spans="1:6" x14ac:dyDescent="0.2">
      <c r="A123" t="s">
        <v>413</v>
      </c>
      <c r="B123" t="s">
        <v>419</v>
      </c>
      <c r="C123">
        <f t="shared" si="4"/>
        <v>1</v>
      </c>
      <c r="D123">
        <f t="shared" si="5"/>
        <v>1</v>
      </c>
      <c r="E123">
        <f t="shared" si="6"/>
        <v>1</v>
      </c>
      <c r="F123">
        <f t="shared" si="7"/>
        <v>1</v>
      </c>
    </row>
    <row r="124" spans="1:6" x14ac:dyDescent="0.2">
      <c r="A124" t="s">
        <v>413</v>
      </c>
      <c r="B124" t="s">
        <v>418</v>
      </c>
      <c r="C124">
        <f t="shared" si="4"/>
        <v>1</v>
      </c>
      <c r="D124">
        <f t="shared" si="5"/>
        <v>1</v>
      </c>
      <c r="E124">
        <f t="shared" si="6"/>
        <v>0</v>
      </c>
      <c r="F124">
        <f t="shared" si="7"/>
        <v>2</v>
      </c>
    </row>
    <row r="125" spans="1:6" x14ac:dyDescent="0.2">
      <c r="A125" t="s">
        <v>413</v>
      </c>
      <c r="B125" t="s">
        <v>419</v>
      </c>
      <c r="C125">
        <f t="shared" si="4"/>
        <v>1</v>
      </c>
      <c r="D125">
        <f t="shared" si="5"/>
        <v>1</v>
      </c>
      <c r="E125">
        <f t="shared" si="6"/>
        <v>1</v>
      </c>
      <c r="F125">
        <f t="shared" si="7"/>
        <v>1</v>
      </c>
    </row>
    <row r="126" spans="1:6" x14ac:dyDescent="0.2">
      <c r="A126" t="s">
        <v>415</v>
      </c>
      <c r="B126" t="s">
        <v>419</v>
      </c>
      <c r="C126">
        <f t="shared" si="4"/>
        <v>2</v>
      </c>
      <c r="D126">
        <f t="shared" si="5"/>
        <v>0</v>
      </c>
      <c r="E126">
        <f t="shared" si="6"/>
        <v>1</v>
      </c>
      <c r="F126">
        <f t="shared" si="7"/>
        <v>3</v>
      </c>
    </row>
    <row r="127" spans="1:6" x14ac:dyDescent="0.2">
      <c r="A127" t="s">
        <v>413</v>
      </c>
      <c r="B127" t="s">
        <v>418</v>
      </c>
      <c r="C127">
        <f t="shared" si="4"/>
        <v>1</v>
      </c>
      <c r="D127">
        <f t="shared" si="5"/>
        <v>1</v>
      </c>
      <c r="E127">
        <f t="shared" si="6"/>
        <v>0</v>
      </c>
      <c r="F127">
        <f t="shared" si="7"/>
        <v>2</v>
      </c>
    </row>
    <row r="128" spans="1:6" x14ac:dyDescent="0.2">
      <c r="A128" t="s">
        <v>413</v>
      </c>
      <c r="B128" t="s">
        <v>418</v>
      </c>
      <c r="C128">
        <f t="shared" si="4"/>
        <v>1</v>
      </c>
      <c r="D128">
        <f t="shared" si="5"/>
        <v>1</v>
      </c>
      <c r="E128">
        <f t="shared" si="6"/>
        <v>0</v>
      </c>
      <c r="F128">
        <f t="shared" si="7"/>
        <v>2</v>
      </c>
    </row>
    <row r="129" spans="1:6" x14ac:dyDescent="0.2">
      <c r="A129" t="s">
        <v>413</v>
      </c>
      <c r="B129" t="s">
        <v>419</v>
      </c>
      <c r="C129">
        <f t="shared" si="4"/>
        <v>1</v>
      </c>
      <c r="D129">
        <f t="shared" si="5"/>
        <v>1</v>
      </c>
      <c r="E129">
        <f t="shared" si="6"/>
        <v>1</v>
      </c>
      <c r="F129">
        <f t="shared" si="7"/>
        <v>1</v>
      </c>
    </row>
    <row r="130" spans="1:6" x14ac:dyDescent="0.2">
      <c r="A130" t="s">
        <v>413</v>
      </c>
      <c r="B130" t="s">
        <v>418</v>
      </c>
      <c r="C130">
        <f t="shared" si="4"/>
        <v>1</v>
      </c>
      <c r="D130">
        <f t="shared" si="5"/>
        <v>1</v>
      </c>
      <c r="E130">
        <f t="shared" si="6"/>
        <v>0</v>
      </c>
      <c r="F130">
        <f t="shared" si="7"/>
        <v>2</v>
      </c>
    </row>
    <row r="131" spans="1:6" x14ac:dyDescent="0.2">
      <c r="A131" t="s">
        <v>415</v>
      </c>
      <c r="B131" t="s">
        <v>419</v>
      </c>
      <c r="C131">
        <f t="shared" ref="C131:C194" si="8">IF(A131="ASD",1,IF(A131="CON",0,2))</f>
        <v>2</v>
      </c>
      <c r="D131">
        <f t="shared" ref="D131:D194" si="9">IF(A131="ASD",1,0)</f>
        <v>0</v>
      </c>
      <c r="E131">
        <f t="shared" ref="E131:E194" si="10">IF(B131="M",0,1)</f>
        <v>1</v>
      </c>
      <c r="F131">
        <f t="shared" ref="F131:F194" si="11">IF(AND(A131="ASD",B131="F"),1,IF(AND(A131="ASD",B131="M"),2,IF(AND(A131&lt;&gt;"ASD",B131="F"),3,4)))</f>
        <v>3</v>
      </c>
    </row>
    <row r="132" spans="1:6" x14ac:dyDescent="0.2">
      <c r="A132" t="s">
        <v>413</v>
      </c>
      <c r="B132" t="s">
        <v>418</v>
      </c>
      <c r="C132">
        <f t="shared" si="8"/>
        <v>1</v>
      </c>
      <c r="D132">
        <f t="shared" si="9"/>
        <v>1</v>
      </c>
      <c r="E132">
        <f t="shared" si="10"/>
        <v>0</v>
      </c>
      <c r="F132">
        <f t="shared" si="11"/>
        <v>2</v>
      </c>
    </row>
    <row r="133" spans="1:6" x14ac:dyDescent="0.2">
      <c r="A133" t="s">
        <v>413</v>
      </c>
      <c r="B133" t="s">
        <v>418</v>
      </c>
      <c r="C133">
        <f t="shared" si="8"/>
        <v>1</v>
      </c>
      <c r="D133">
        <f t="shared" si="9"/>
        <v>1</v>
      </c>
      <c r="E133">
        <f t="shared" si="10"/>
        <v>0</v>
      </c>
      <c r="F133">
        <f t="shared" si="11"/>
        <v>2</v>
      </c>
    </row>
    <row r="134" spans="1:6" x14ac:dyDescent="0.2">
      <c r="A134" t="s">
        <v>415</v>
      </c>
      <c r="B134" t="s">
        <v>419</v>
      </c>
      <c r="C134">
        <f t="shared" si="8"/>
        <v>2</v>
      </c>
      <c r="D134">
        <f t="shared" si="9"/>
        <v>0</v>
      </c>
      <c r="E134">
        <f t="shared" si="10"/>
        <v>1</v>
      </c>
      <c r="F134">
        <f t="shared" si="11"/>
        <v>3</v>
      </c>
    </row>
    <row r="135" spans="1:6" x14ac:dyDescent="0.2">
      <c r="A135" t="s">
        <v>414</v>
      </c>
      <c r="B135" t="s">
        <v>419</v>
      </c>
      <c r="C135">
        <f t="shared" si="8"/>
        <v>0</v>
      </c>
      <c r="D135">
        <f t="shared" si="9"/>
        <v>0</v>
      </c>
      <c r="E135">
        <f t="shared" si="10"/>
        <v>1</v>
      </c>
      <c r="F135">
        <f t="shared" si="11"/>
        <v>3</v>
      </c>
    </row>
    <row r="136" spans="1:6" x14ac:dyDescent="0.2">
      <c r="A136" t="s">
        <v>413</v>
      </c>
      <c r="B136" t="s">
        <v>418</v>
      </c>
      <c r="C136">
        <f t="shared" si="8"/>
        <v>1</v>
      </c>
      <c r="D136">
        <f t="shared" si="9"/>
        <v>1</v>
      </c>
      <c r="E136">
        <f t="shared" si="10"/>
        <v>0</v>
      </c>
      <c r="F136">
        <f t="shared" si="11"/>
        <v>2</v>
      </c>
    </row>
    <row r="137" spans="1:6" x14ac:dyDescent="0.2">
      <c r="A137" t="s">
        <v>415</v>
      </c>
      <c r="B137" t="s">
        <v>418</v>
      </c>
      <c r="C137">
        <f t="shared" si="8"/>
        <v>2</v>
      </c>
      <c r="D137">
        <f t="shared" si="9"/>
        <v>0</v>
      </c>
      <c r="E137">
        <f t="shared" si="10"/>
        <v>0</v>
      </c>
      <c r="F137">
        <f t="shared" si="11"/>
        <v>4</v>
      </c>
    </row>
    <row r="138" spans="1:6" x14ac:dyDescent="0.2">
      <c r="A138" t="s">
        <v>414</v>
      </c>
      <c r="B138" t="s">
        <v>419</v>
      </c>
      <c r="C138">
        <f t="shared" si="8"/>
        <v>0</v>
      </c>
      <c r="D138">
        <f t="shared" si="9"/>
        <v>0</v>
      </c>
      <c r="E138">
        <f t="shared" si="10"/>
        <v>1</v>
      </c>
      <c r="F138">
        <f t="shared" si="11"/>
        <v>3</v>
      </c>
    </row>
    <row r="139" spans="1:6" x14ac:dyDescent="0.2">
      <c r="A139" t="s">
        <v>414</v>
      </c>
      <c r="B139" t="s">
        <v>419</v>
      </c>
      <c r="C139">
        <f t="shared" si="8"/>
        <v>0</v>
      </c>
      <c r="D139">
        <f t="shared" si="9"/>
        <v>0</v>
      </c>
      <c r="E139">
        <f t="shared" si="10"/>
        <v>1</v>
      </c>
      <c r="F139">
        <f t="shared" si="11"/>
        <v>3</v>
      </c>
    </row>
    <row r="140" spans="1:6" x14ac:dyDescent="0.2">
      <c r="A140" t="s">
        <v>414</v>
      </c>
      <c r="B140" t="s">
        <v>419</v>
      </c>
      <c r="C140">
        <f t="shared" si="8"/>
        <v>0</v>
      </c>
      <c r="D140">
        <f t="shared" si="9"/>
        <v>0</v>
      </c>
      <c r="E140">
        <f t="shared" si="10"/>
        <v>1</v>
      </c>
      <c r="F140">
        <f t="shared" si="11"/>
        <v>3</v>
      </c>
    </row>
    <row r="141" spans="1:6" x14ac:dyDescent="0.2">
      <c r="A141" t="s">
        <v>414</v>
      </c>
      <c r="B141" t="s">
        <v>419</v>
      </c>
      <c r="C141">
        <f t="shared" si="8"/>
        <v>0</v>
      </c>
      <c r="D141">
        <f t="shared" si="9"/>
        <v>0</v>
      </c>
      <c r="E141">
        <f t="shared" si="10"/>
        <v>1</v>
      </c>
      <c r="F141">
        <f t="shared" si="11"/>
        <v>3</v>
      </c>
    </row>
    <row r="142" spans="1:6" x14ac:dyDescent="0.2">
      <c r="A142" t="s">
        <v>414</v>
      </c>
      <c r="B142" t="s">
        <v>419</v>
      </c>
      <c r="C142">
        <f t="shared" si="8"/>
        <v>0</v>
      </c>
      <c r="D142">
        <f t="shared" si="9"/>
        <v>0</v>
      </c>
      <c r="E142">
        <f t="shared" si="10"/>
        <v>1</v>
      </c>
      <c r="F142">
        <f t="shared" si="11"/>
        <v>3</v>
      </c>
    </row>
    <row r="143" spans="1:6" x14ac:dyDescent="0.2">
      <c r="A143" t="s">
        <v>414</v>
      </c>
      <c r="B143" t="s">
        <v>418</v>
      </c>
      <c r="C143">
        <f t="shared" si="8"/>
        <v>0</v>
      </c>
      <c r="D143">
        <f t="shared" si="9"/>
        <v>0</v>
      </c>
      <c r="E143">
        <f t="shared" si="10"/>
        <v>0</v>
      </c>
      <c r="F143">
        <f t="shared" si="11"/>
        <v>4</v>
      </c>
    </row>
    <row r="144" spans="1:6" x14ac:dyDescent="0.2">
      <c r="A144" t="s">
        <v>413</v>
      </c>
      <c r="B144" t="s">
        <v>418</v>
      </c>
      <c r="C144">
        <f t="shared" si="8"/>
        <v>1</v>
      </c>
      <c r="D144">
        <f t="shared" si="9"/>
        <v>1</v>
      </c>
      <c r="E144">
        <f t="shared" si="10"/>
        <v>0</v>
      </c>
      <c r="F144">
        <f t="shared" si="11"/>
        <v>2</v>
      </c>
    </row>
    <row r="145" spans="1:6" x14ac:dyDescent="0.2">
      <c r="A145" t="s">
        <v>415</v>
      </c>
      <c r="B145" t="s">
        <v>418</v>
      </c>
      <c r="C145">
        <f t="shared" si="8"/>
        <v>2</v>
      </c>
      <c r="D145">
        <f t="shared" si="9"/>
        <v>0</v>
      </c>
      <c r="E145">
        <f t="shared" si="10"/>
        <v>0</v>
      </c>
      <c r="F145">
        <f t="shared" si="11"/>
        <v>4</v>
      </c>
    </row>
    <row r="146" spans="1:6" x14ac:dyDescent="0.2">
      <c r="A146" t="s">
        <v>415</v>
      </c>
      <c r="B146" t="s">
        <v>418</v>
      </c>
      <c r="C146">
        <f t="shared" si="8"/>
        <v>2</v>
      </c>
      <c r="D146">
        <f t="shared" si="9"/>
        <v>0</v>
      </c>
      <c r="E146">
        <f t="shared" si="10"/>
        <v>0</v>
      </c>
      <c r="F146">
        <f t="shared" si="11"/>
        <v>4</v>
      </c>
    </row>
    <row r="147" spans="1:6" x14ac:dyDescent="0.2">
      <c r="A147" t="s">
        <v>414</v>
      </c>
      <c r="B147" t="s">
        <v>419</v>
      </c>
      <c r="C147">
        <f t="shared" si="8"/>
        <v>0</v>
      </c>
      <c r="D147">
        <f t="shared" si="9"/>
        <v>0</v>
      </c>
      <c r="E147">
        <f t="shared" si="10"/>
        <v>1</v>
      </c>
      <c r="F147">
        <f t="shared" si="11"/>
        <v>3</v>
      </c>
    </row>
    <row r="148" spans="1:6" x14ac:dyDescent="0.2">
      <c r="A148" t="s">
        <v>414</v>
      </c>
      <c r="B148" t="s">
        <v>419</v>
      </c>
      <c r="C148">
        <f t="shared" si="8"/>
        <v>0</v>
      </c>
      <c r="D148">
        <f t="shared" si="9"/>
        <v>0</v>
      </c>
      <c r="E148">
        <f t="shared" si="10"/>
        <v>1</v>
      </c>
      <c r="F148">
        <f t="shared" si="11"/>
        <v>3</v>
      </c>
    </row>
    <row r="149" spans="1:6" x14ac:dyDescent="0.2">
      <c r="A149" t="s">
        <v>414</v>
      </c>
      <c r="B149" t="s">
        <v>419</v>
      </c>
      <c r="C149">
        <f t="shared" si="8"/>
        <v>0</v>
      </c>
      <c r="D149">
        <f t="shared" si="9"/>
        <v>0</v>
      </c>
      <c r="E149">
        <f t="shared" si="10"/>
        <v>1</v>
      </c>
      <c r="F149">
        <f t="shared" si="11"/>
        <v>3</v>
      </c>
    </row>
    <row r="150" spans="1:6" x14ac:dyDescent="0.2">
      <c r="A150" t="s">
        <v>414</v>
      </c>
      <c r="B150" t="s">
        <v>419</v>
      </c>
      <c r="C150">
        <f t="shared" si="8"/>
        <v>0</v>
      </c>
      <c r="D150">
        <f t="shared" si="9"/>
        <v>0</v>
      </c>
      <c r="E150">
        <f t="shared" si="10"/>
        <v>1</v>
      </c>
      <c r="F150">
        <f t="shared" si="11"/>
        <v>3</v>
      </c>
    </row>
    <row r="151" spans="1:6" x14ac:dyDescent="0.2">
      <c r="A151" t="s">
        <v>414</v>
      </c>
      <c r="B151" t="s">
        <v>418</v>
      </c>
      <c r="C151">
        <f t="shared" si="8"/>
        <v>0</v>
      </c>
      <c r="D151">
        <f t="shared" si="9"/>
        <v>0</v>
      </c>
      <c r="E151">
        <f t="shared" si="10"/>
        <v>0</v>
      </c>
      <c r="F151">
        <f t="shared" si="11"/>
        <v>4</v>
      </c>
    </row>
    <row r="152" spans="1:6" x14ac:dyDescent="0.2">
      <c r="A152" t="s">
        <v>413</v>
      </c>
      <c r="B152" t="s">
        <v>418</v>
      </c>
      <c r="C152">
        <f t="shared" si="8"/>
        <v>1</v>
      </c>
      <c r="D152">
        <f t="shared" si="9"/>
        <v>1</v>
      </c>
      <c r="E152">
        <f t="shared" si="10"/>
        <v>0</v>
      </c>
      <c r="F152">
        <f t="shared" si="11"/>
        <v>2</v>
      </c>
    </row>
    <row r="153" spans="1:6" x14ac:dyDescent="0.2">
      <c r="A153" t="s">
        <v>415</v>
      </c>
      <c r="B153" t="s">
        <v>418</v>
      </c>
      <c r="C153">
        <f t="shared" si="8"/>
        <v>2</v>
      </c>
      <c r="D153">
        <f t="shared" si="9"/>
        <v>0</v>
      </c>
      <c r="E153">
        <f t="shared" si="10"/>
        <v>0</v>
      </c>
      <c r="F153">
        <f t="shared" si="11"/>
        <v>4</v>
      </c>
    </row>
    <row r="154" spans="1:6" x14ac:dyDescent="0.2">
      <c r="A154" t="s">
        <v>414</v>
      </c>
      <c r="B154" t="s">
        <v>419</v>
      </c>
      <c r="C154">
        <f t="shared" si="8"/>
        <v>0</v>
      </c>
      <c r="D154">
        <f t="shared" si="9"/>
        <v>0</v>
      </c>
      <c r="E154">
        <f t="shared" si="10"/>
        <v>1</v>
      </c>
      <c r="F154">
        <f t="shared" si="11"/>
        <v>3</v>
      </c>
    </row>
    <row r="155" spans="1:6" x14ac:dyDescent="0.2">
      <c r="A155" t="s">
        <v>414</v>
      </c>
      <c r="B155" t="s">
        <v>418</v>
      </c>
      <c r="C155">
        <f t="shared" si="8"/>
        <v>0</v>
      </c>
      <c r="D155">
        <f t="shared" si="9"/>
        <v>0</v>
      </c>
      <c r="E155">
        <f t="shared" si="10"/>
        <v>0</v>
      </c>
      <c r="F155">
        <f t="shared" si="11"/>
        <v>4</v>
      </c>
    </row>
    <row r="156" spans="1:6" x14ac:dyDescent="0.2">
      <c r="A156" t="s">
        <v>414</v>
      </c>
      <c r="B156" t="s">
        <v>418</v>
      </c>
      <c r="C156">
        <f t="shared" si="8"/>
        <v>0</v>
      </c>
      <c r="D156">
        <f t="shared" si="9"/>
        <v>0</v>
      </c>
      <c r="E156">
        <f t="shared" si="10"/>
        <v>0</v>
      </c>
      <c r="F156">
        <f t="shared" si="11"/>
        <v>4</v>
      </c>
    </row>
    <row r="157" spans="1:6" x14ac:dyDescent="0.2">
      <c r="A157" t="s">
        <v>414</v>
      </c>
      <c r="B157" t="s">
        <v>419</v>
      </c>
      <c r="C157">
        <f t="shared" si="8"/>
        <v>0</v>
      </c>
      <c r="D157">
        <f t="shared" si="9"/>
        <v>0</v>
      </c>
      <c r="E157">
        <f t="shared" si="10"/>
        <v>1</v>
      </c>
      <c r="F157">
        <f t="shared" si="11"/>
        <v>3</v>
      </c>
    </row>
    <row r="158" spans="1:6" x14ac:dyDescent="0.2">
      <c r="A158" t="s">
        <v>414</v>
      </c>
      <c r="B158" t="s">
        <v>418</v>
      </c>
      <c r="C158">
        <f t="shared" si="8"/>
        <v>0</v>
      </c>
      <c r="D158">
        <f t="shared" si="9"/>
        <v>0</v>
      </c>
      <c r="E158">
        <f t="shared" si="10"/>
        <v>0</v>
      </c>
      <c r="F158">
        <f t="shared" si="11"/>
        <v>4</v>
      </c>
    </row>
    <row r="159" spans="1:6" x14ac:dyDescent="0.2">
      <c r="A159" t="s">
        <v>414</v>
      </c>
      <c r="B159" t="s">
        <v>419</v>
      </c>
      <c r="C159">
        <f t="shared" si="8"/>
        <v>0</v>
      </c>
      <c r="D159">
        <f t="shared" si="9"/>
        <v>0</v>
      </c>
      <c r="E159">
        <f t="shared" si="10"/>
        <v>1</v>
      </c>
      <c r="F159">
        <f t="shared" si="11"/>
        <v>3</v>
      </c>
    </row>
    <row r="160" spans="1:6" x14ac:dyDescent="0.2">
      <c r="A160" t="s">
        <v>414</v>
      </c>
      <c r="B160" t="s">
        <v>418</v>
      </c>
      <c r="C160">
        <f t="shared" si="8"/>
        <v>0</v>
      </c>
      <c r="D160">
        <f t="shared" si="9"/>
        <v>0</v>
      </c>
      <c r="E160">
        <f t="shared" si="10"/>
        <v>0</v>
      </c>
      <c r="F160">
        <f t="shared" si="11"/>
        <v>4</v>
      </c>
    </row>
    <row r="161" spans="1:6" x14ac:dyDescent="0.2">
      <c r="A161" t="s">
        <v>414</v>
      </c>
      <c r="B161" t="s">
        <v>419</v>
      </c>
      <c r="C161">
        <f t="shared" si="8"/>
        <v>0</v>
      </c>
      <c r="D161">
        <f t="shared" si="9"/>
        <v>0</v>
      </c>
      <c r="E161">
        <f t="shared" si="10"/>
        <v>1</v>
      </c>
      <c r="F161">
        <f t="shared" si="11"/>
        <v>3</v>
      </c>
    </row>
    <row r="162" spans="1:6" x14ac:dyDescent="0.2">
      <c r="A162" t="s">
        <v>413</v>
      </c>
      <c r="B162" t="s">
        <v>419</v>
      </c>
      <c r="C162">
        <f t="shared" si="8"/>
        <v>1</v>
      </c>
      <c r="D162">
        <f t="shared" si="9"/>
        <v>1</v>
      </c>
      <c r="E162">
        <f t="shared" si="10"/>
        <v>1</v>
      </c>
      <c r="F162">
        <f t="shared" si="11"/>
        <v>1</v>
      </c>
    </row>
    <row r="163" spans="1:6" x14ac:dyDescent="0.2">
      <c r="A163" t="s">
        <v>415</v>
      </c>
      <c r="B163" t="s">
        <v>419</v>
      </c>
      <c r="C163">
        <f t="shared" si="8"/>
        <v>2</v>
      </c>
      <c r="D163">
        <f t="shared" si="9"/>
        <v>0</v>
      </c>
      <c r="E163">
        <f t="shared" si="10"/>
        <v>1</v>
      </c>
      <c r="F163">
        <f t="shared" si="11"/>
        <v>3</v>
      </c>
    </row>
    <row r="164" spans="1:6" x14ac:dyDescent="0.2">
      <c r="A164" t="s">
        <v>415</v>
      </c>
      <c r="B164" t="s">
        <v>419</v>
      </c>
      <c r="C164">
        <f t="shared" si="8"/>
        <v>2</v>
      </c>
      <c r="D164">
        <f t="shared" si="9"/>
        <v>0</v>
      </c>
      <c r="E164">
        <f t="shared" si="10"/>
        <v>1</v>
      </c>
      <c r="F164">
        <f t="shared" si="11"/>
        <v>3</v>
      </c>
    </row>
    <row r="165" spans="1:6" x14ac:dyDescent="0.2">
      <c r="A165" t="s">
        <v>414</v>
      </c>
      <c r="B165" t="s">
        <v>418</v>
      </c>
      <c r="C165">
        <f t="shared" si="8"/>
        <v>0</v>
      </c>
      <c r="D165">
        <f t="shared" si="9"/>
        <v>0</v>
      </c>
      <c r="E165">
        <f t="shared" si="10"/>
        <v>0</v>
      </c>
      <c r="F165">
        <f t="shared" si="11"/>
        <v>4</v>
      </c>
    </row>
    <row r="166" spans="1:6" x14ac:dyDescent="0.2">
      <c r="A166" t="s">
        <v>413</v>
      </c>
      <c r="B166" t="s">
        <v>418</v>
      </c>
      <c r="C166">
        <f t="shared" si="8"/>
        <v>1</v>
      </c>
      <c r="D166">
        <f t="shared" si="9"/>
        <v>1</v>
      </c>
      <c r="E166">
        <f t="shared" si="10"/>
        <v>0</v>
      </c>
      <c r="F166">
        <f t="shared" si="11"/>
        <v>2</v>
      </c>
    </row>
    <row r="167" spans="1:6" x14ac:dyDescent="0.2">
      <c r="A167" t="s">
        <v>414</v>
      </c>
      <c r="B167" t="s">
        <v>419</v>
      </c>
      <c r="C167">
        <f t="shared" si="8"/>
        <v>0</v>
      </c>
      <c r="D167">
        <f t="shared" si="9"/>
        <v>0</v>
      </c>
      <c r="E167">
        <f t="shared" si="10"/>
        <v>1</v>
      </c>
      <c r="F167">
        <f t="shared" si="11"/>
        <v>3</v>
      </c>
    </row>
    <row r="168" spans="1:6" x14ac:dyDescent="0.2">
      <c r="A168" t="s">
        <v>414</v>
      </c>
      <c r="B168" t="s">
        <v>418</v>
      </c>
      <c r="C168">
        <f t="shared" si="8"/>
        <v>0</v>
      </c>
      <c r="D168">
        <f t="shared" si="9"/>
        <v>0</v>
      </c>
      <c r="E168">
        <f t="shared" si="10"/>
        <v>0</v>
      </c>
      <c r="F168">
        <f t="shared" si="11"/>
        <v>4</v>
      </c>
    </row>
    <row r="169" spans="1:6" x14ac:dyDescent="0.2">
      <c r="A169" t="s">
        <v>414</v>
      </c>
      <c r="B169" t="s">
        <v>418</v>
      </c>
      <c r="C169">
        <f t="shared" si="8"/>
        <v>0</v>
      </c>
      <c r="D169">
        <f t="shared" si="9"/>
        <v>0</v>
      </c>
      <c r="E169">
        <f t="shared" si="10"/>
        <v>0</v>
      </c>
      <c r="F169">
        <f t="shared" si="11"/>
        <v>4</v>
      </c>
    </row>
    <row r="170" spans="1:6" x14ac:dyDescent="0.2">
      <c r="A170" t="s">
        <v>414</v>
      </c>
      <c r="B170" t="s">
        <v>419</v>
      </c>
      <c r="C170">
        <f t="shared" si="8"/>
        <v>0</v>
      </c>
      <c r="D170">
        <f t="shared" si="9"/>
        <v>0</v>
      </c>
      <c r="E170">
        <f t="shared" si="10"/>
        <v>1</v>
      </c>
      <c r="F170">
        <f t="shared" si="11"/>
        <v>3</v>
      </c>
    </row>
    <row r="171" spans="1:6" x14ac:dyDescent="0.2">
      <c r="A171" t="s">
        <v>413</v>
      </c>
      <c r="B171" t="s">
        <v>419</v>
      </c>
      <c r="C171">
        <f t="shared" si="8"/>
        <v>1</v>
      </c>
      <c r="D171">
        <f t="shared" si="9"/>
        <v>1</v>
      </c>
      <c r="E171">
        <f t="shared" si="10"/>
        <v>1</v>
      </c>
      <c r="F171">
        <f t="shared" si="11"/>
        <v>1</v>
      </c>
    </row>
    <row r="172" spans="1:6" x14ac:dyDescent="0.2">
      <c r="A172" t="s">
        <v>413</v>
      </c>
      <c r="B172" t="s">
        <v>418</v>
      </c>
      <c r="C172">
        <f t="shared" si="8"/>
        <v>1</v>
      </c>
      <c r="D172">
        <f t="shared" si="9"/>
        <v>1</v>
      </c>
      <c r="E172">
        <f t="shared" si="10"/>
        <v>0</v>
      </c>
      <c r="F172">
        <f t="shared" si="11"/>
        <v>2</v>
      </c>
    </row>
    <row r="173" spans="1:6" x14ac:dyDescent="0.2">
      <c r="A173" t="s">
        <v>413</v>
      </c>
      <c r="B173" t="s">
        <v>419</v>
      </c>
      <c r="C173">
        <f t="shared" si="8"/>
        <v>1</v>
      </c>
      <c r="D173">
        <f t="shared" si="9"/>
        <v>1</v>
      </c>
      <c r="E173">
        <f t="shared" si="10"/>
        <v>1</v>
      </c>
      <c r="F173">
        <f t="shared" si="11"/>
        <v>1</v>
      </c>
    </row>
    <row r="174" spans="1:6" x14ac:dyDescent="0.2">
      <c r="A174" t="s">
        <v>413</v>
      </c>
      <c r="B174" t="s">
        <v>419</v>
      </c>
      <c r="C174">
        <f t="shared" si="8"/>
        <v>1</v>
      </c>
      <c r="D174">
        <f t="shared" si="9"/>
        <v>1</v>
      </c>
      <c r="E174">
        <f t="shared" si="10"/>
        <v>1</v>
      </c>
      <c r="F174">
        <f t="shared" si="11"/>
        <v>1</v>
      </c>
    </row>
    <row r="175" spans="1:6" x14ac:dyDescent="0.2">
      <c r="A175" t="s">
        <v>415</v>
      </c>
      <c r="B175" t="s">
        <v>419</v>
      </c>
      <c r="C175">
        <f t="shared" si="8"/>
        <v>2</v>
      </c>
      <c r="D175">
        <f t="shared" si="9"/>
        <v>0</v>
      </c>
      <c r="E175">
        <f t="shared" si="10"/>
        <v>1</v>
      </c>
      <c r="F175">
        <f t="shared" si="11"/>
        <v>3</v>
      </c>
    </row>
    <row r="176" spans="1:6" x14ac:dyDescent="0.2">
      <c r="A176" t="s">
        <v>413</v>
      </c>
      <c r="B176" t="s">
        <v>418</v>
      </c>
      <c r="C176">
        <f t="shared" si="8"/>
        <v>1</v>
      </c>
      <c r="D176">
        <f t="shared" si="9"/>
        <v>1</v>
      </c>
      <c r="E176">
        <f t="shared" si="10"/>
        <v>0</v>
      </c>
      <c r="F176">
        <f t="shared" si="11"/>
        <v>2</v>
      </c>
    </row>
    <row r="177" spans="1:6" x14ac:dyDescent="0.2">
      <c r="A177" t="s">
        <v>414</v>
      </c>
      <c r="B177" t="s">
        <v>418</v>
      </c>
      <c r="C177">
        <f t="shared" si="8"/>
        <v>0</v>
      </c>
      <c r="D177">
        <f t="shared" si="9"/>
        <v>0</v>
      </c>
      <c r="E177">
        <f t="shared" si="10"/>
        <v>0</v>
      </c>
      <c r="F177">
        <f t="shared" si="11"/>
        <v>4</v>
      </c>
    </row>
    <row r="178" spans="1:6" x14ac:dyDescent="0.2">
      <c r="A178" t="s">
        <v>414</v>
      </c>
      <c r="B178" t="s">
        <v>418</v>
      </c>
      <c r="C178">
        <f t="shared" si="8"/>
        <v>0</v>
      </c>
      <c r="D178">
        <f t="shared" si="9"/>
        <v>0</v>
      </c>
      <c r="E178">
        <f t="shared" si="10"/>
        <v>0</v>
      </c>
      <c r="F178">
        <f t="shared" si="11"/>
        <v>4</v>
      </c>
    </row>
    <row r="179" spans="1:6" x14ac:dyDescent="0.2">
      <c r="A179" t="s">
        <v>414</v>
      </c>
      <c r="B179" t="s">
        <v>418</v>
      </c>
      <c r="C179">
        <f t="shared" si="8"/>
        <v>0</v>
      </c>
      <c r="D179">
        <f t="shared" si="9"/>
        <v>0</v>
      </c>
      <c r="E179">
        <f t="shared" si="10"/>
        <v>0</v>
      </c>
      <c r="F179">
        <f t="shared" si="11"/>
        <v>4</v>
      </c>
    </row>
    <row r="180" spans="1:6" x14ac:dyDescent="0.2">
      <c r="A180" t="s">
        <v>414</v>
      </c>
      <c r="B180" t="s">
        <v>418</v>
      </c>
      <c r="C180">
        <f t="shared" si="8"/>
        <v>0</v>
      </c>
      <c r="D180">
        <f t="shared" si="9"/>
        <v>0</v>
      </c>
      <c r="E180">
        <f t="shared" si="10"/>
        <v>0</v>
      </c>
      <c r="F180">
        <f t="shared" si="11"/>
        <v>4</v>
      </c>
    </row>
    <row r="181" spans="1:6" x14ac:dyDescent="0.2">
      <c r="A181" t="s">
        <v>414</v>
      </c>
      <c r="B181" t="s">
        <v>418</v>
      </c>
      <c r="C181">
        <f t="shared" si="8"/>
        <v>0</v>
      </c>
      <c r="D181">
        <f t="shared" si="9"/>
        <v>0</v>
      </c>
      <c r="E181">
        <f t="shared" si="10"/>
        <v>0</v>
      </c>
      <c r="F181">
        <f t="shared" si="11"/>
        <v>4</v>
      </c>
    </row>
    <row r="182" spans="1:6" x14ac:dyDescent="0.2">
      <c r="A182" t="s">
        <v>414</v>
      </c>
      <c r="B182" t="s">
        <v>418</v>
      </c>
      <c r="C182">
        <f t="shared" si="8"/>
        <v>0</v>
      </c>
      <c r="D182">
        <f t="shared" si="9"/>
        <v>0</v>
      </c>
      <c r="E182">
        <f t="shared" si="10"/>
        <v>0</v>
      </c>
      <c r="F182">
        <f t="shared" si="11"/>
        <v>4</v>
      </c>
    </row>
    <row r="183" spans="1:6" x14ac:dyDescent="0.2">
      <c r="A183" t="s">
        <v>414</v>
      </c>
      <c r="B183" t="s">
        <v>418</v>
      </c>
      <c r="C183">
        <f t="shared" si="8"/>
        <v>0</v>
      </c>
      <c r="D183">
        <f t="shared" si="9"/>
        <v>0</v>
      </c>
      <c r="E183">
        <f t="shared" si="10"/>
        <v>0</v>
      </c>
      <c r="F183">
        <f t="shared" si="11"/>
        <v>4</v>
      </c>
    </row>
    <row r="184" spans="1:6" x14ac:dyDescent="0.2">
      <c r="A184" t="s">
        <v>413</v>
      </c>
      <c r="B184" t="s">
        <v>418</v>
      </c>
      <c r="C184">
        <f t="shared" si="8"/>
        <v>1</v>
      </c>
      <c r="D184">
        <f t="shared" si="9"/>
        <v>1</v>
      </c>
      <c r="E184">
        <f t="shared" si="10"/>
        <v>0</v>
      </c>
      <c r="F184">
        <f t="shared" si="11"/>
        <v>2</v>
      </c>
    </row>
    <row r="185" spans="1:6" x14ac:dyDescent="0.2">
      <c r="A185" t="s">
        <v>414</v>
      </c>
      <c r="B185" t="s">
        <v>418</v>
      </c>
      <c r="C185">
        <f t="shared" si="8"/>
        <v>0</v>
      </c>
      <c r="D185">
        <f t="shared" si="9"/>
        <v>0</v>
      </c>
      <c r="E185">
        <f t="shared" si="10"/>
        <v>0</v>
      </c>
      <c r="F185">
        <f t="shared" si="11"/>
        <v>4</v>
      </c>
    </row>
    <row r="186" spans="1:6" x14ac:dyDescent="0.2">
      <c r="A186" t="s">
        <v>414</v>
      </c>
      <c r="B186" t="s">
        <v>419</v>
      </c>
      <c r="C186">
        <f t="shared" si="8"/>
        <v>0</v>
      </c>
      <c r="D186">
        <f t="shared" si="9"/>
        <v>0</v>
      </c>
      <c r="E186">
        <f t="shared" si="10"/>
        <v>1</v>
      </c>
      <c r="F186">
        <f t="shared" si="11"/>
        <v>3</v>
      </c>
    </row>
    <row r="187" spans="1:6" x14ac:dyDescent="0.2">
      <c r="A187" t="s">
        <v>414</v>
      </c>
      <c r="B187" t="s">
        <v>419</v>
      </c>
      <c r="C187">
        <f t="shared" si="8"/>
        <v>0</v>
      </c>
      <c r="D187">
        <f t="shared" si="9"/>
        <v>0</v>
      </c>
      <c r="E187">
        <f t="shared" si="10"/>
        <v>1</v>
      </c>
      <c r="F187">
        <f t="shared" si="11"/>
        <v>3</v>
      </c>
    </row>
    <row r="188" spans="1:6" x14ac:dyDescent="0.2">
      <c r="A188" t="s">
        <v>413</v>
      </c>
      <c r="B188" t="s">
        <v>418</v>
      </c>
      <c r="C188">
        <f t="shared" si="8"/>
        <v>1</v>
      </c>
      <c r="D188">
        <f t="shared" si="9"/>
        <v>1</v>
      </c>
      <c r="E188">
        <f t="shared" si="10"/>
        <v>0</v>
      </c>
      <c r="F188">
        <f t="shared" si="11"/>
        <v>2</v>
      </c>
    </row>
    <row r="189" spans="1:6" x14ac:dyDescent="0.2">
      <c r="A189" t="s">
        <v>413</v>
      </c>
      <c r="B189" t="s">
        <v>418</v>
      </c>
      <c r="C189">
        <f t="shared" si="8"/>
        <v>1</v>
      </c>
      <c r="D189">
        <f t="shared" si="9"/>
        <v>1</v>
      </c>
      <c r="E189">
        <f t="shared" si="10"/>
        <v>0</v>
      </c>
      <c r="F189">
        <f t="shared" si="11"/>
        <v>2</v>
      </c>
    </row>
    <row r="190" spans="1:6" x14ac:dyDescent="0.2">
      <c r="A190" t="s">
        <v>413</v>
      </c>
      <c r="B190" t="s">
        <v>419</v>
      </c>
      <c r="C190">
        <f t="shared" si="8"/>
        <v>1</v>
      </c>
      <c r="D190">
        <f t="shared" si="9"/>
        <v>1</v>
      </c>
      <c r="E190">
        <f t="shared" si="10"/>
        <v>1</v>
      </c>
      <c r="F190">
        <f t="shared" si="11"/>
        <v>1</v>
      </c>
    </row>
    <row r="191" spans="1:6" x14ac:dyDescent="0.2">
      <c r="A191" t="s">
        <v>415</v>
      </c>
      <c r="B191" t="s">
        <v>419</v>
      </c>
      <c r="C191">
        <f t="shared" si="8"/>
        <v>2</v>
      </c>
      <c r="D191">
        <f t="shared" si="9"/>
        <v>0</v>
      </c>
      <c r="E191">
        <f t="shared" si="10"/>
        <v>1</v>
      </c>
      <c r="F191">
        <f t="shared" si="11"/>
        <v>3</v>
      </c>
    </row>
    <row r="192" spans="1:6" x14ac:dyDescent="0.2">
      <c r="A192" t="s">
        <v>413</v>
      </c>
      <c r="B192" t="s">
        <v>419</v>
      </c>
      <c r="C192">
        <f t="shared" si="8"/>
        <v>1</v>
      </c>
      <c r="D192">
        <f t="shared" si="9"/>
        <v>1</v>
      </c>
      <c r="E192">
        <f t="shared" si="10"/>
        <v>1</v>
      </c>
      <c r="F192">
        <f t="shared" si="11"/>
        <v>1</v>
      </c>
    </row>
    <row r="193" spans="1:6" x14ac:dyDescent="0.2">
      <c r="A193" t="s">
        <v>413</v>
      </c>
      <c r="B193" t="s">
        <v>418</v>
      </c>
      <c r="C193">
        <f t="shared" si="8"/>
        <v>1</v>
      </c>
      <c r="D193">
        <f t="shared" si="9"/>
        <v>1</v>
      </c>
      <c r="E193">
        <f t="shared" si="10"/>
        <v>0</v>
      </c>
      <c r="F193">
        <f t="shared" si="11"/>
        <v>2</v>
      </c>
    </row>
    <row r="194" spans="1:6" x14ac:dyDescent="0.2">
      <c r="A194" t="s">
        <v>413</v>
      </c>
      <c r="B194" t="s">
        <v>418</v>
      </c>
      <c r="C194">
        <f t="shared" si="8"/>
        <v>1</v>
      </c>
      <c r="D194">
        <f t="shared" si="9"/>
        <v>1</v>
      </c>
      <c r="E194">
        <f t="shared" si="10"/>
        <v>0</v>
      </c>
      <c r="F194">
        <f t="shared" si="11"/>
        <v>2</v>
      </c>
    </row>
    <row r="195" spans="1:6" x14ac:dyDescent="0.2">
      <c r="A195" t="s">
        <v>415</v>
      </c>
      <c r="B195" t="s">
        <v>419</v>
      </c>
      <c r="C195">
        <f t="shared" ref="C195:C258" si="12">IF(A195="ASD",1,IF(A195="CON",0,2))</f>
        <v>2</v>
      </c>
      <c r="D195">
        <f t="shared" ref="D195:D258" si="13">IF(A195="ASD",1,0)</f>
        <v>0</v>
      </c>
      <c r="E195">
        <f t="shared" ref="E195:E258" si="14">IF(B195="M",0,1)</f>
        <v>1</v>
      </c>
      <c r="F195">
        <f t="shared" ref="F195:F258" si="15">IF(AND(A195="ASD",B195="F"),1,IF(AND(A195="ASD",B195="M"),2,IF(AND(A195&lt;&gt;"ASD",B195="F"),3,4)))</f>
        <v>3</v>
      </c>
    </row>
    <row r="196" spans="1:6" x14ac:dyDescent="0.2">
      <c r="A196" t="s">
        <v>414</v>
      </c>
      <c r="B196" t="s">
        <v>419</v>
      </c>
      <c r="C196">
        <f t="shared" si="12"/>
        <v>0</v>
      </c>
      <c r="D196">
        <f t="shared" si="13"/>
        <v>0</v>
      </c>
      <c r="E196">
        <f t="shared" si="14"/>
        <v>1</v>
      </c>
      <c r="F196">
        <f t="shared" si="15"/>
        <v>3</v>
      </c>
    </row>
    <row r="197" spans="1:6" x14ac:dyDescent="0.2">
      <c r="A197" t="s">
        <v>413</v>
      </c>
      <c r="B197" t="s">
        <v>419</v>
      </c>
      <c r="C197">
        <f t="shared" si="12"/>
        <v>1</v>
      </c>
      <c r="D197">
        <f t="shared" si="13"/>
        <v>1</v>
      </c>
      <c r="E197">
        <f t="shared" si="14"/>
        <v>1</v>
      </c>
      <c r="F197">
        <f t="shared" si="15"/>
        <v>1</v>
      </c>
    </row>
    <row r="198" spans="1:6" x14ac:dyDescent="0.2">
      <c r="A198" t="s">
        <v>415</v>
      </c>
      <c r="B198" t="s">
        <v>419</v>
      </c>
      <c r="C198">
        <f t="shared" si="12"/>
        <v>2</v>
      </c>
      <c r="D198">
        <f t="shared" si="13"/>
        <v>0</v>
      </c>
      <c r="E198">
        <f t="shared" si="14"/>
        <v>1</v>
      </c>
      <c r="F198">
        <f t="shared" si="15"/>
        <v>3</v>
      </c>
    </row>
    <row r="199" spans="1:6" x14ac:dyDescent="0.2">
      <c r="A199" t="s">
        <v>413</v>
      </c>
      <c r="B199" t="s">
        <v>419</v>
      </c>
      <c r="C199">
        <f t="shared" si="12"/>
        <v>1</v>
      </c>
      <c r="D199">
        <f t="shared" si="13"/>
        <v>1</v>
      </c>
      <c r="E199">
        <f t="shared" si="14"/>
        <v>1</v>
      </c>
      <c r="F199">
        <f t="shared" si="15"/>
        <v>1</v>
      </c>
    </row>
    <row r="200" spans="1:6" x14ac:dyDescent="0.2">
      <c r="A200" t="s">
        <v>413</v>
      </c>
      <c r="B200" t="s">
        <v>418</v>
      </c>
      <c r="C200">
        <f t="shared" si="12"/>
        <v>1</v>
      </c>
      <c r="D200">
        <f t="shared" si="13"/>
        <v>1</v>
      </c>
      <c r="E200">
        <f t="shared" si="14"/>
        <v>0</v>
      </c>
      <c r="F200">
        <f t="shared" si="15"/>
        <v>2</v>
      </c>
    </row>
    <row r="201" spans="1:6" x14ac:dyDescent="0.2">
      <c r="A201" t="s">
        <v>413</v>
      </c>
      <c r="B201" t="s">
        <v>418</v>
      </c>
      <c r="C201">
        <f t="shared" si="12"/>
        <v>1</v>
      </c>
      <c r="D201">
        <f t="shared" si="13"/>
        <v>1</v>
      </c>
      <c r="E201">
        <f t="shared" si="14"/>
        <v>0</v>
      </c>
      <c r="F201">
        <f t="shared" si="15"/>
        <v>2</v>
      </c>
    </row>
    <row r="202" spans="1:6" x14ac:dyDescent="0.2">
      <c r="A202" t="s">
        <v>413</v>
      </c>
      <c r="B202" t="s">
        <v>418</v>
      </c>
      <c r="C202">
        <f t="shared" si="12"/>
        <v>1</v>
      </c>
      <c r="D202">
        <f t="shared" si="13"/>
        <v>1</v>
      </c>
      <c r="E202">
        <f t="shared" si="14"/>
        <v>0</v>
      </c>
      <c r="F202">
        <f t="shared" si="15"/>
        <v>2</v>
      </c>
    </row>
    <row r="203" spans="1:6" x14ac:dyDescent="0.2">
      <c r="A203" t="s">
        <v>413</v>
      </c>
      <c r="B203" t="s">
        <v>418</v>
      </c>
      <c r="C203">
        <f t="shared" si="12"/>
        <v>1</v>
      </c>
      <c r="D203">
        <f t="shared" si="13"/>
        <v>1</v>
      </c>
      <c r="E203">
        <f t="shared" si="14"/>
        <v>0</v>
      </c>
      <c r="F203">
        <f t="shared" si="15"/>
        <v>2</v>
      </c>
    </row>
    <row r="204" spans="1:6" x14ac:dyDescent="0.2">
      <c r="A204" t="s">
        <v>415</v>
      </c>
      <c r="B204" t="s">
        <v>419</v>
      </c>
      <c r="C204">
        <f t="shared" si="12"/>
        <v>2</v>
      </c>
      <c r="D204">
        <f t="shared" si="13"/>
        <v>0</v>
      </c>
      <c r="E204">
        <f t="shared" si="14"/>
        <v>1</v>
      </c>
      <c r="F204">
        <f t="shared" si="15"/>
        <v>3</v>
      </c>
    </row>
    <row r="205" spans="1:6" x14ac:dyDescent="0.2">
      <c r="A205" t="s">
        <v>415</v>
      </c>
      <c r="B205" t="s">
        <v>418</v>
      </c>
      <c r="C205">
        <f t="shared" si="12"/>
        <v>2</v>
      </c>
      <c r="D205">
        <f t="shared" si="13"/>
        <v>0</v>
      </c>
      <c r="E205">
        <f t="shared" si="14"/>
        <v>0</v>
      </c>
      <c r="F205">
        <f t="shared" si="15"/>
        <v>4</v>
      </c>
    </row>
    <row r="206" spans="1:6" x14ac:dyDescent="0.2">
      <c r="A206" t="s">
        <v>414</v>
      </c>
      <c r="B206" t="s">
        <v>418</v>
      </c>
      <c r="C206">
        <f t="shared" si="12"/>
        <v>0</v>
      </c>
      <c r="D206">
        <f t="shared" si="13"/>
        <v>0</v>
      </c>
      <c r="E206">
        <f t="shared" si="14"/>
        <v>0</v>
      </c>
      <c r="F206">
        <f t="shared" si="15"/>
        <v>4</v>
      </c>
    </row>
    <row r="207" spans="1:6" x14ac:dyDescent="0.2">
      <c r="A207" t="s">
        <v>413</v>
      </c>
      <c r="B207" t="s">
        <v>418</v>
      </c>
      <c r="C207">
        <f t="shared" si="12"/>
        <v>1</v>
      </c>
      <c r="D207">
        <f t="shared" si="13"/>
        <v>1</v>
      </c>
      <c r="E207">
        <f t="shared" si="14"/>
        <v>0</v>
      </c>
      <c r="F207">
        <f t="shared" si="15"/>
        <v>2</v>
      </c>
    </row>
    <row r="208" spans="1:6" x14ac:dyDescent="0.2">
      <c r="A208" t="s">
        <v>413</v>
      </c>
      <c r="B208" t="s">
        <v>418</v>
      </c>
      <c r="C208">
        <f t="shared" si="12"/>
        <v>1</v>
      </c>
      <c r="D208">
        <f t="shared" si="13"/>
        <v>1</v>
      </c>
      <c r="E208">
        <f t="shared" si="14"/>
        <v>0</v>
      </c>
      <c r="F208">
        <f t="shared" si="15"/>
        <v>2</v>
      </c>
    </row>
    <row r="209" spans="1:6" x14ac:dyDescent="0.2">
      <c r="A209" t="s">
        <v>413</v>
      </c>
      <c r="B209" t="s">
        <v>418</v>
      </c>
      <c r="C209">
        <f t="shared" si="12"/>
        <v>1</v>
      </c>
      <c r="D209">
        <f t="shared" si="13"/>
        <v>1</v>
      </c>
      <c r="E209">
        <f t="shared" si="14"/>
        <v>0</v>
      </c>
      <c r="F209">
        <f t="shared" si="15"/>
        <v>2</v>
      </c>
    </row>
    <row r="210" spans="1:6" x14ac:dyDescent="0.2">
      <c r="A210" t="s">
        <v>415</v>
      </c>
      <c r="B210" t="s">
        <v>419</v>
      </c>
      <c r="C210">
        <f t="shared" si="12"/>
        <v>2</v>
      </c>
      <c r="D210">
        <f t="shared" si="13"/>
        <v>0</v>
      </c>
      <c r="E210">
        <f t="shared" si="14"/>
        <v>1</v>
      </c>
      <c r="F210">
        <f t="shared" si="15"/>
        <v>3</v>
      </c>
    </row>
    <row r="211" spans="1:6" x14ac:dyDescent="0.2">
      <c r="A211" t="s">
        <v>413</v>
      </c>
      <c r="B211" t="s">
        <v>419</v>
      </c>
      <c r="C211">
        <f t="shared" si="12"/>
        <v>1</v>
      </c>
      <c r="D211">
        <f t="shared" si="13"/>
        <v>1</v>
      </c>
      <c r="E211">
        <f t="shared" si="14"/>
        <v>1</v>
      </c>
      <c r="F211">
        <f t="shared" si="15"/>
        <v>1</v>
      </c>
    </row>
    <row r="212" spans="1:6" x14ac:dyDescent="0.2">
      <c r="A212" t="s">
        <v>413</v>
      </c>
      <c r="B212" t="s">
        <v>418</v>
      </c>
      <c r="C212">
        <f t="shared" si="12"/>
        <v>1</v>
      </c>
      <c r="D212">
        <f t="shared" si="13"/>
        <v>1</v>
      </c>
      <c r="E212">
        <f t="shared" si="14"/>
        <v>0</v>
      </c>
      <c r="F212">
        <f t="shared" si="15"/>
        <v>2</v>
      </c>
    </row>
    <row r="213" spans="1:6" x14ac:dyDescent="0.2">
      <c r="A213" t="s">
        <v>414</v>
      </c>
      <c r="B213" t="s">
        <v>419</v>
      </c>
      <c r="C213">
        <f t="shared" si="12"/>
        <v>0</v>
      </c>
      <c r="D213">
        <f t="shared" si="13"/>
        <v>0</v>
      </c>
      <c r="E213">
        <f t="shared" si="14"/>
        <v>1</v>
      </c>
      <c r="F213">
        <f t="shared" si="15"/>
        <v>3</v>
      </c>
    </row>
    <row r="214" spans="1:6" x14ac:dyDescent="0.2">
      <c r="A214" t="s">
        <v>413</v>
      </c>
      <c r="B214" t="s">
        <v>418</v>
      </c>
      <c r="C214">
        <f t="shared" si="12"/>
        <v>1</v>
      </c>
      <c r="D214">
        <f t="shared" si="13"/>
        <v>1</v>
      </c>
      <c r="E214">
        <f t="shared" si="14"/>
        <v>0</v>
      </c>
      <c r="F214">
        <f t="shared" si="15"/>
        <v>2</v>
      </c>
    </row>
    <row r="215" spans="1:6" x14ac:dyDescent="0.2">
      <c r="A215" t="s">
        <v>413</v>
      </c>
      <c r="B215" t="s">
        <v>418</v>
      </c>
      <c r="C215">
        <f t="shared" si="12"/>
        <v>1</v>
      </c>
      <c r="D215">
        <f t="shared" si="13"/>
        <v>1</v>
      </c>
      <c r="E215">
        <f t="shared" si="14"/>
        <v>0</v>
      </c>
      <c r="F215">
        <f t="shared" si="15"/>
        <v>2</v>
      </c>
    </row>
    <row r="216" spans="1:6" x14ac:dyDescent="0.2">
      <c r="A216" t="s">
        <v>413</v>
      </c>
      <c r="B216" t="s">
        <v>419</v>
      </c>
      <c r="C216">
        <f t="shared" si="12"/>
        <v>1</v>
      </c>
      <c r="D216">
        <f t="shared" si="13"/>
        <v>1</v>
      </c>
      <c r="E216">
        <f t="shared" si="14"/>
        <v>1</v>
      </c>
      <c r="F216">
        <f t="shared" si="15"/>
        <v>1</v>
      </c>
    </row>
    <row r="217" spans="1:6" x14ac:dyDescent="0.2">
      <c r="A217" t="s">
        <v>415</v>
      </c>
      <c r="B217" t="s">
        <v>418</v>
      </c>
      <c r="C217">
        <f t="shared" si="12"/>
        <v>2</v>
      </c>
      <c r="D217">
        <f t="shared" si="13"/>
        <v>0</v>
      </c>
      <c r="E217">
        <f t="shared" si="14"/>
        <v>0</v>
      </c>
      <c r="F217">
        <f t="shared" si="15"/>
        <v>4</v>
      </c>
    </row>
    <row r="218" spans="1:6" x14ac:dyDescent="0.2">
      <c r="A218" t="s">
        <v>414</v>
      </c>
      <c r="B218" t="s">
        <v>418</v>
      </c>
      <c r="C218">
        <f t="shared" si="12"/>
        <v>0</v>
      </c>
      <c r="D218">
        <f t="shared" si="13"/>
        <v>0</v>
      </c>
      <c r="E218">
        <f t="shared" si="14"/>
        <v>0</v>
      </c>
      <c r="F218">
        <f t="shared" si="15"/>
        <v>4</v>
      </c>
    </row>
    <row r="219" spans="1:6" x14ac:dyDescent="0.2">
      <c r="A219" t="s">
        <v>413</v>
      </c>
      <c r="B219" t="s">
        <v>419</v>
      </c>
      <c r="C219">
        <f t="shared" si="12"/>
        <v>1</v>
      </c>
      <c r="D219">
        <f t="shared" si="13"/>
        <v>1</v>
      </c>
      <c r="E219">
        <f t="shared" si="14"/>
        <v>1</v>
      </c>
      <c r="F219">
        <f t="shared" si="15"/>
        <v>1</v>
      </c>
    </row>
    <row r="220" spans="1:6" x14ac:dyDescent="0.2">
      <c r="A220" t="s">
        <v>413</v>
      </c>
      <c r="B220" t="s">
        <v>418</v>
      </c>
      <c r="C220">
        <f t="shared" si="12"/>
        <v>1</v>
      </c>
      <c r="D220">
        <f t="shared" si="13"/>
        <v>1</v>
      </c>
      <c r="E220">
        <f t="shared" si="14"/>
        <v>0</v>
      </c>
      <c r="F220">
        <f t="shared" si="15"/>
        <v>2</v>
      </c>
    </row>
    <row r="221" spans="1:6" x14ac:dyDescent="0.2">
      <c r="A221" t="s">
        <v>413</v>
      </c>
      <c r="B221" t="s">
        <v>418</v>
      </c>
      <c r="C221">
        <f t="shared" si="12"/>
        <v>1</v>
      </c>
      <c r="D221">
        <f t="shared" si="13"/>
        <v>1</v>
      </c>
      <c r="E221">
        <f t="shared" si="14"/>
        <v>0</v>
      </c>
      <c r="F221">
        <f t="shared" si="15"/>
        <v>2</v>
      </c>
    </row>
    <row r="222" spans="1:6" x14ac:dyDescent="0.2">
      <c r="A222" t="s">
        <v>413</v>
      </c>
      <c r="B222" t="s">
        <v>418</v>
      </c>
      <c r="C222">
        <f t="shared" si="12"/>
        <v>1</v>
      </c>
      <c r="D222">
        <f t="shared" si="13"/>
        <v>1</v>
      </c>
      <c r="E222">
        <f t="shared" si="14"/>
        <v>0</v>
      </c>
      <c r="F222">
        <f t="shared" si="15"/>
        <v>2</v>
      </c>
    </row>
    <row r="223" spans="1:6" x14ac:dyDescent="0.2">
      <c r="A223" t="s">
        <v>413</v>
      </c>
      <c r="B223" t="s">
        <v>418</v>
      </c>
      <c r="C223">
        <f t="shared" si="12"/>
        <v>1</v>
      </c>
      <c r="D223">
        <f t="shared" si="13"/>
        <v>1</v>
      </c>
      <c r="E223">
        <f t="shared" si="14"/>
        <v>0</v>
      </c>
      <c r="F223">
        <f t="shared" si="15"/>
        <v>2</v>
      </c>
    </row>
    <row r="224" spans="1:6" x14ac:dyDescent="0.2">
      <c r="A224" t="s">
        <v>413</v>
      </c>
      <c r="B224" t="s">
        <v>418</v>
      </c>
      <c r="C224">
        <f t="shared" si="12"/>
        <v>1</v>
      </c>
      <c r="D224">
        <f t="shared" si="13"/>
        <v>1</v>
      </c>
      <c r="E224">
        <f t="shared" si="14"/>
        <v>0</v>
      </c>
      <c r="F224">
        <f t="shared" si="15"/>
        <v>2</v>
      </c>
    </row>
    <row r="225" spans="1:6" x14ac:dyDescent="0.2">
      <c r="A225" t="s">
        <v>413</v>
      </c>
      <c r="B225" t="s">
        <v>419</v>
      </c>
      <c r="C225">
        <f t="shared" si="12"/>
        <v>1</v>
      </c>
      <c r="D225">
        <f t="shared" si="13"/>
        <v>1</v>
      </c>
      <c r="E225">
        <f t="shared" si="14"/>
        <v>1</v>
      </c>
      <c r="F225">
        <f t="shared" si="15"/>
        <v>1</v>
      </c>
    </row>
    <row r="226" spans="1:6" x14ac:dyDescent="0.2">
      <c r="A226" t="s">
        <v>413</v>
      </c>
      <c r="B226" t="s">
        <v>419</v>
      </c>
      <c r="C226">
        <f t="shared" si="12"/>
        <v>1</v>
      </c>
      <c r="D226">
        <f t="shared" si="13"/>
        <v>1</v>
      </c>
      <c r="E226">
        <f t="shared" si="14"/>
        <v>1</v>
      </c>
      <c r="F226">
        <f t="shared" si="15"/>
        <v>1</v>
      </c>
    </row>
    <row r="227" spans="1:6" x14ac:dyDescent="0.2">
      <c r="A227" t="s">
        <v>413</v>
      </c>
      <c r="B227" t="s">
        <v>419</v>
      </c>
      <c r="C227">
        <f t="shared" si="12"/>
        <v>1</v>
      </c>
      <c r="D227">
        <f t="shared" si="13"/>
        <v>1</v>
      </c>
      <c r="E227">
        <f t="shared" si="14"/>
        <v>1</v>
      </c>
      <c r="F227">
        <f t="shared" si="15"/>
        <v>1</v>
      </c>
    </row>
    <row r="228" spans="1:6" x14ac:dyDescent="0.2">
      <c r="A228" t="s">
        <v>414</v>
      </c>
      <c r="B228" t="s">
        <v>419</v>
      </c>
      <c r="C228">
        <f t="shared" si="12"/>
        <v>0</v>
      </c>
      <c r="D228">
        <f t="shared" si="13"/>
        <v>0</v>
      </c>
      <c r="E228">
        <f t="shared" si="14"/>
        <v>1</v>
      </c>
      <c r="F228">
        <f t="shared" si="15"/>
        <v>3</v>
      </c>
    </row>
    <row r="229" spans="1:6" x14ac:dyDescent="0.2">
      <c r="A229" t="s">
        <v>414</v>
      </c>
      <c r="B229" t="s">
        <v>418</v>
      </c>
      <c r="C229">
        <f t="shared" si="12"/>
        <v>0</v>
      </c>
      <c r="D229">
        <f t="shared" si="13"/>
        <v>0</v>
      </c>
      <c r="E229">
        <f t="shared" si="14"/>
        <v>0</v>
      </c>
      <c r="F229">
        <f t="shared" si="15"/>
        <v>4</v>
      </c>
    </row>
    <row r="230" spans="1:6" x14ac:dyDescent="0.2">
      <c r="A230" t="s">
        <v>414</v>
      </c>
      <c r="B230" t="s">
        <v>419</v>
      </c>
      <c r="C230">
        <f t="shared" si="12"/>
        <v>0</v>
      </c>
      <c r="D230">
        <f t="shared" si="13"/>
        <v>0</v>
      </c>
      <c r="E230">
        <f t="shared" si="14"/>
        <v>1</v>
      </c>
      <c r="F230">
        <f t="shared" si="15"/>
        <v>3</v>
      </c>
    </row>
    <row r="231" spans="1:6" x14ac:dyDescent="0.2">
      <c r="A231" t="s">
        <v>414</v>
      </c>
      <c r="B231" t="s">
        <v>418</v>
      </c>
      <c r="C231">
        <f t="shared" si="12"/>
        <v>0</v>
      </c>
      <c r="D231">
        <f t="shared" si="13"/>
        <v>0</v>
      </c>
      <c r="E231">
        <f t="shared" si="14"/>
        <v>0</v>
      </c>
      <c r="F231">
        <f t="shared" si="15"/>
        <v>4</v>
      </c>
    </row>
    <row r="232" spans="1:6" x14ac:dyDescent="0.2">
      <c r="A232" t="s">
        <v>413</v>
      </c>
      <c r="B232" t="s">
        <v>419</v>
      </c>
      <c r="C232">
        <f t="shared" si="12"/>
        <v>1</v>
      </c>
      <c r="D232">
        <f t="shared" si="13"/>
        <v>1</v>
      </c>
      <c r="E232">
        <f t="shared" si="14"/>
        <v>1</v>
      </c>
      <c r="F232">
        <f t="shared" si="15"/>
        <v>1</v>
      </c>
    </row>
    <row r="233" spans="1:6" x14ac:dyDescent="0.2">
      <c r="A233" t="s">
        <v>413</v>
      </c>
      <c r="B233" t="s">
        <v>418</v>
      </c>
      <c r="C233">
        <f t="shared" si="12"/>
        <v>1</v>
      </c>
      <c r="D233">
        <f t="shared" si="13"/>
        <v>1</v>
      </c>
      <c r="E233">
        <f t="shared" si="14"/>
        <v>0</v>
      </c>
      <c r="F233">
        <f t="shared" si="15"/>
        <v>2</v>
      </c>
    </row>
    <row r="234" spans="1:6" x14ac:dyDescent="0.2">
      <c r="A234" t="s">
        <v>413</v>
      </c>
      <c r="B234" t="s">
        <v>418</v>
      </c>
      <c r="C234">
        <f t="shared" si="12"/>
        <v>1</v>
      </c>
      <c r="D234">
        <f t="shared" si="13"/>
        <v>1</v>
      </c>
      <c r="E234">
        <f t="shared" si="14"/>
        <v>0</v>
      </c>
      <c r="F234">
        <f t="shared" si="15"/>
        <v>2</v>
      </c>
    </row>
    <row r="235" spans="1:6" x14ac:dyDescent="0.2">
      <c r="A235" t="s">
        <v>415</v>
      </c>
      <c r="B235" t="s">
        <v>419</v>
      </c>
      <c r="C235">
        <f t="shared" si="12"/>
        <v>2</v>
      </c>
      <c r="D235">
        <f t="shared" si="13"/>
        <v>0</v>
      </c>
      <c r="E235">
        <f t="shared" si="14"/>
        <v>1</v>
      </c>
      <c r="F235">
        <f t="shared" si="15"/>
        <v>3</v>
      </c>
    </row>
    <row r="236" spans="1:6" x14ac:dyDescent="0.2">
      <c r="A236" t="s">
        <v>413</v>
      </c>
      <c r="B236" t="s">
        <v>418</v>
      </c>
      <c r="C236">
        <f t="shared" si="12"/>
        <v>1</v>
      </c>
      <c r="D236">
        <f t="shared" si="13"/>
        <v>1</v>
      </c>
      <c r="E236">
        <f t="shared" si="14"/>
        <v>0</v>
      </c>
      <c r="F236">
        <f t="shared" si="15"/>
        <v>2</v>
      </c>
    </row>
    <row r="237" spans="1:6" x14ac:dyDescent="0.2">
      <c r="A237" t="s">
        <v>413</v>
      </c>
      <c r="B237" t="s">
        <v>418</v>
      </c>
      <c r="C237">
        <f t="shared" si="12"/>
        <v>1</v>
      </c>
      <c r="D237">
        <f t="shared" si="13"/>
        <v>1</v>
      </c>
      <c r="E237">
        <f t="shared" si="14"/>
        <v>0</v>
      </c>
      <c r="F237">
        <f t="shared" si="15"/>
        <v>2</v>
      </c>
    </row>
    <row r="238" spans="1:6" x14ac:dyDescent="0.2">
      <c r="A238" t="s">
        <v>413</v>
      </c>
      <c r="B238" t="s">
        <v>418</v>
      </c>
      <c r="C238">
        <f t="shared" si="12"/>
        <v>1</v>
      </c>
      <c r="D238">
        <f t="shared" si="13"/>
        <v>1</v>
      </c>
      <c r="E238">
        <f t="shared" si="14"/>
        <v>0</v>
      </c>
      <c r="F238">
        <f t="shared" si="15"/>
        <v>2</v>
      </c>
    </row>
    <row r="239" spans="1:6" x14ac:dyDescent="0.2">
      <c r="A239" t="s">
        <v>415</v>
      </c>
      <c r="B239" t="s">
        <v>419</v>
      </c>
      <c r="C239">
        <f t="shared" si="12"/>
        <v>2</v>
      </c>
      <c r="D239">
        <f t="shared" si="13"/>
        <v>0</v>
      </c>
      <c r="E239">
        <f t="shared" si="14"/>
        <v>1</v>
      </c>
      <c r="F239">
        <f t="shared" si="15"/>
        <v>3</v>
      </c>
    </row>
    <row r="240" spans="1:6" x14ac:dyDescent="0.2">
      <c r="A240" t="s">
        <v>413</v>
      </c>
      <c r="B240" t="s">
        <v>419</v>
      </c>
      <c r="C240">
        <f t="shared" si="12"/>
        <v>1</v>
      </c>
      <c r="D240">
        <f t="shared" si="13"/>
        <v>1</v>
      </c>
      <c r="E240">
        <f t="shared" si="14"/>
        <v>1</v>
      </c>
      <c r="F240">
        <f t="shared" si="15"/>
        <v>1</v>
      </c>
    </row>
    <row r="241" spans="1:6" x14ac:dyDescent="0.2">
      <c r="A241" t="s">
        <v>413</v>
      </c>
      <c r="B241" t="s">
        <v>418</v>
      </c>
      <c r="C241">
        <f t="shared" si="12"/>
        <v>1</v>
      </c>
      <c r="D241">
        <f t="shared" si="13"/>
        <v>1</v>
      </c>
      <c r="E241">
        <f t="shared" si="14"/>
        <v>0</v>
      </c>
      <c r="F241">
        <f t="shared" si="15"/>
        <v>2</v>
      </c>
    </row>
    <row r="242" spans="1:6" x14ac:dyDescent="0.2">
      <c r="A242" t="s">
        <v>413</v>
      </c>
      <c r="B242" t="s">
        <v>419</v>
      </c>
      <c r="C242">
        <f t="shared" si="12"/>
        <v>1</v>
      </c>
      <c r="D242">
        <f t="shared" si="13"/>
        <v>1</v>
      </c>
      <c r="E242">
        <f t="shared" si="14"/>
        <v>1</v>
      </c>
      <c r="F242">
        <f t="shared" si="15"/>
        <v>1</v>
      </c>
    </row>
    <row r="243" spans="1:6" x14ac:dyDescent="0.2">
      <c r="A243" t="s">
        <v>413</v>
      </c>
      <c r="B243" t="s">
        <v>419</v>
      </c>
      <c r="C243">
        <f t="shared" si="12"/>
        <v>1</v>
      </c>
      <c r="D243">
        <f t="shared" si="13"/>
        <v>1</v>
      </c>
      <c r="E243">
        <f t="shared" si="14"/>
        <v>1</v>
      </c>
      <c r="F243">
        <f t="shared" si="15"/>
        <v>1</v>
      </c>
    </row>
    <row r="244" spans="1:6" x14ac:dyDescent="0.2">
      <c r="A244" t="s">
        <v>413</v>
      </c>
      <c r="B244" t="s">
        <v>419</v>
      </c>
      <c r="C244">
        <f t="shared" si="12"/>
        <v>1</v>
      </c>
      <c r="D244">
        <f t="shared" si="13"/>
        <v>1</v>
      </c>
      <c r="E244">
        <f t="shared" si="14"/>
        <v>1</v>
      </c>
      <c r="F244">
        <f t="shared" si="15"/>
        <v>1</v>
      </c>
    </row>
    <row r="245" spans="1:6" x14ac:dyDescent="0.2">
      <c r="A245" t="s">
        <v>414</v>
      </c>
      <c r="B245" t="s">
        <v>419</v>
      </c>
      <c r="C245">
        <f t="shared" si="12"/>
        <v>0</v>
      </c>
      <c r="D245">
        <f t="shared" si="13"/>
        <v>0</v>
      </c>
      <c r="E245">
        <f t="shared" si="14"/>
        <v>1</v>
      </c>
      <c r="F245">
        <f t="shared" si="15"/>
        <v>3</v>
      </c>
    </row>
    <row r="246" spans="1:6" x14ac:dyDescent="0.2">
      <c r="A246" t="s">
        <v>413</v>
      </c>
      <c r="B246" t="s">
        <v>419</v>
      </c>
      <c r="C246">
        <f t="shared" si="12"/>
        <v>1</v>
      </c>
      <c r="D246">
        <f t="shared" si="13"/>
        <v>1</v>
      </c>
      <c r="E246">
        <f t="shared" si="14"/>
        <v>1</v>
      </c>
      <c r="F246">
        <f t="shared" si="15"/>
        <v>1</v>
      </c>
    </row>
    <row r="247" spans="1:6" x14ac:dyDescent="0.2">
      <c r="A247" t="s">
        <v>413</v>
      </c>
      <c r="B247" t="s">
        <v>419</v>
      </c>
      <c r="C247">
        <f t="shared" si="12"/>
        <v>1</v>
      </c>
      <c r="D247">
        <f t="shared" si="13"/>
        <v>1</v>
      </c>
      <c r="E247">
        <f t="shared" si="14"/>
        <v>1</v>
      </c>
      <c r="F247">
        <f t="shared" si="15"/>
        <v>1</v>
      </c>
    </row>
    <row r="248" spans="1:6" x14ac:dyDescent="0.2">
      <c r="A248" t="s">
        <v>414</v>
      </c>
      <c r="B248" t="s">
        <v>418</v>
      </c>
      <c r="C248">
        <f t="shared" si="12"/>
        <v>0</v>
      </c>
      <c r="D248">
        <f t="shared" si="13"/>
        <v>0</v>
      </c>
      <c r="E248">
        <f t="shared" si="14"/>
        <v>0</v>
      </c>
      <c r="F248">
        <f t="shared" si="15"/>
        <v>4</v>
      </c>
    </row>
    <row r="249" spans="1:6" x14ac:dyDescent="0.2">
      <c r="A249" t="s">
        <v>414</v>
      </c>
      <c r="B249" t="s">
        <v>418</v>
      </c>
      <c r="C249">
        <f t="shared" si="12"/>
        <v>0</v>
      </c>
      <c r="D249">
        <f t="shared" si="13"/>
        <v>0</v>
      </c>
      <c r="E249">
        <f t="shared" si="14"/>
        <v>0</v>
      </c>
      <c r="F249">
        <f t="shared" si="15"/>
        <v>4</v>
      </c>
    </row>
    <row r="250" spans="1:6" x14ac:dyDescent="0.2">
      <c r="A250" t="s">
        <v>413</v>
      </c>
      <c r="B250" t="s">
        <v>418</v>
      </c>
      <c r="C250">
        <f t="shared" si="12"/>
        <v>1</v>
      </c>
      <c r="D250">
        <f t="shared" si="13"/>
        <v>1</v>
      </c>
      <c r="E250">
        <f t="shared" si="14"/>
        <v>0</v>
      </c>
      <c r="F250">
        <f t="shared" si="15"/>
        <v>2</v>
      </c>
    </row>
    <row r="251" spans="1:6" x14ac:dyDescent="0.2">
      <c r="A251" t="s">
        <v>414</v>
      </c>
      <c r="B251" t="s">
        <v>418</v>
      </c>
      <c r="C251">
        <f t="shared" si="12"/>
        <v>0</v>
      </c>
      <c r="D251">
        <f t="shared" si="13"/>
        <v>0</v>
      </c>
      <c r="E251">
        <f t="shared" si="14"/>
        <v>0</v>
      </c>
      <c r="F251">
        <f t="shared" si="15"/>
        <v>4</v>
      </c>
    </row>
    <row r="252" spans="1:6" x14ac:dyDescent="0.2">
      <c r="A252" t="s">
        <v>414</v>
      </c>
      <c r="B252" t="s">
        <v>419</v>
      </c>
      <c r="C252">
        <f t="shared" si="12"/>
        <v>0</v>
      </c>
      <c r="D252">
        <f t="shared" si="13"/>
        <v>0</v>
      </c>
      <c r="E252">
        <f t="shared" si="14"/>
        <v>1</v>
      </c>
      <c r="F252">
        <f t="shared" si="15"/>
        <v>3</v>
      </c>
    </row>
    <row r="253" spans="1:6" x14ac:dyDescent="0.2">
      <c r="A253" t="s">
        <v>414</v>
      </c>
      <c r="B253" t="s">
        <v>419</v>
      </c>
      <c r="C253">
        <f t="shared" si="12"/>
        <v>0</v>
      </c>
      <c r="D253">
        <f t="shared" si="13"/>
        <v>0</v>
      </c>
      <c r="E253">
        <f t="shared" si="14"/>
        <v>1</v>
      </c>
      <c r="F253">
        <f t="shared" si="15"/>
        <v>3</v>
      </c>
    </row>
    <row r="254" spans="1:6" x14ac:dyDescent="0.2">
      <c r="A254" t="s">
        <v>414</v>
      </c>
      <c r="B254" t="s">
        <v>418</v>
      </c>
      <c r="C254">
        <f t="shared" si="12"/>
        <v>0</v>
      </c>
      <c r="D254">
        <f t="shared" si="13"/>
        <v>0</v>
      </c>
      <c r="E254">
        <f t="shared" si="14"/>
        <v>0</v>
      </c>
      <c r="F254">
        <f t="shared" si="15"/>
        <v>4</v>
      </c>
    </row>
    <row r="255" spans="1:6" x14ac:dyDescent="0.2">
      <c r="A255" t="s">
        <v>414</v>
      </c>
      <c r="B255" t="s">
        <v>419</v>
      </c>
      <c r="C255">
        <f t="shared" si="12"/>
        <v>0</v>
      </c>
      <c r="D255">
        <f t="shared" si="13"/>
        <v>0</v>
      </c>
      <c r="E255">
        <f t="shared" si="14"/>
        <v>1</v>
      </c>
      <c r="F255">
        <f t="shared" si="15"/>
        <v>3</v>
      </c>
    </row>
    <row r="256" spans="1:6" x14ac:dyDescent="0.2">
      <c r="A256" t="s">
        <v>414</v>
      </c>
      <c r="B256" t="s">
        <v>419</v>
      </c>
      <c r="C256">
        <f t="shared" si="12"/>
        <v>0</v>
      </c>
      <c r="D256">
        <f t="shared" si="13"/>
        <v>0</v>
      </c>
      <c r="E256">
        <f t="shared" si="14"/>
        <v>1</v>
      </c>
      <c r="F256">
        <f t="shared" si="15"/>
        <v>3</v>
      </c>
    </row>
    <row r="257" spans="1:6" x14ac:dyDescent="0.2">
      <c r="A257" t="s">
        <v>414</v>
      </c>
      <c r="B257" t="s">
        <v>418</v>
      </c>
      <c r="C257">
        <f t="shared" si="12"/>
        <v>0</v>
      </c>
      <c r="D257">
        <f t="shared" si="13"/>
        <v>0</v>
      </c>
      <c r="E257">
        <f t="shared" si="14"/>
        <v>0</v>
      </c>
      <c r="F257">
        <f t="shared" si="15"/>
        <v>4</v>
      </c>
    </row>
    <row r="258" spans="1:6" x14ac:dyDescent="0.2">
      <c r="A258" t="s">
        <v>414</v>
      </c>
      <c r="B258" t="s">
        <v>419</v>
      </c>
      <c r="C258">
        <f t="shared" si="12"/>
        <v>0</v>
      </c>
      <c r="D258">
        <f t="shared" si="13"/>
        <v>0</v>
      </c>
      <c r="E258">
        <f t="shared" si="14"/>
        <v>1</v>
      </c>
      <c r="F258">
        <f t="shared" si="15"/>
        <v>3</v>
      </c>
    </row>
    <row r="259" spans="1:6" x14ac:dyDescent="0.2">
      <c r="A259" t="s">
        <v>413</v>
      </c>
      <c r="B259" t="s">
        <v>419</v>
      </c>
      <c r="C259">
        <f t="shared" ref="C259:C322" si="16">IF(A259="ASD",1,IF(A259="CON",0,2))</f>
        <v>1</v>
      </c>
      <c r="D259">
        <f t="shared" ref="D259:D322" si="17">IF(A259="ASD",1,0)</f>
        <v>1</v>
      </c>
      <c r="E259">
        <f t="shared" ref="E259:E322" si="18">IF(B259="M",0,1)</f>
        <v>1</v>
      </c>
      <c r="F259">
        <f t="shared" ref="F259:F322" si="19">IF(AND(A259="ASD",B259="F"),1,IF(AND(A259="ASD",B259="M"),2,IF(AND(A259&lt;&gt;"ASD",B259="F"),3,4)))</f>
        <v>1</v>
      </c>
    </row>
    <row r="260" spans="1:6" x14ac:dyDescent="0.2">
      <c r="A260" t="s">
        <v>414</v>
      </c>
      <c r="B260" t="s">
        <v>419</v>
      </c>
      <c r="C260">
        <f t="shared" si="16"/>
        <v>0</v>
      </c>
      <c r="D260">
        <f t="shared" si="17"/>
        <v>0</v>
      </c>
      <c r="E260">
        <f t="shared" si="18"/>
        <v>1</v>
      </c>
      <c r="F260">
        <f t="shared" si="19"/>
        <v>3</v>
      </c>
    </row>
    <row r="261" spans="1:6" x14ac:dyDescent="0.2">
      <c r="A261" t="s">
        <v>414</v>
      </c>
      <c r="B261" t="s">
        <v>418</v>
      </c>
      <c r="C261">
        <f t="shared" si="16"/>
        <v>0</v>
      </c>
      <c r="D261">
        <f t="shared" si="17"/>
        <v>0</v>
      </c>
      <c r="E261">
        <f t="shared" si="18"/>
        <v>0</v>
      </c>
      <c r="F261">
        <f t="shared" si="19"/>
        <v>4</v>
      </c>
    </row>
    <row r="262" spans="1:6" x14ac:dyDescent="0.2">
      <c r="A262" t="s">
        <v>414</v>
      </c>
      <c r="B262" t="s">
        <v>418</v>
      </c>
      <c r="C262">
        <f t="shared" si="16"/>
        <v>0</v>
      </c>
      <c r="D262">
        <f t="shared" si="17"/>
        <v>0</v>
      </c>
      <c r="E262">
        <f t="shared" si="18"/>
        <v>0</v>
      </c>
      <c r="F262">
        <f t="shared" si="19"/>
        <v>4</v>
      </c>
    </row>
    <row r="263" spans="1:6" x14ac:dyDescent="0.2">
      <c r="A263" t="s">
        <v>414</v>
      </c>
      <c r="B263" t="s">
        <v>419</v>
      </c>
      <c r="C263">
        <f t="shared" si="16"/>
        <v>0</v>
      </c>
      <c r="D263">
        <f t="shared" si="17"/>
        <v>0</v>
      </c>
      <c r="E263">
        <f t="shared" si="18"/>
        <v>1</v>
      </c>
      <c r="F263">
        <f t="shared" si="19"/>
        <v>3</v>
      </c>
    </row>
    <row r="264" spans="1:6" x14ac:dyDescent="0.2">
      <c r="A264" t="s">
        <v>414</v>
      </c>
      <c r="B264" t="s">
        <v>419</v>
      </c>
      <c r="C264">
        <f t="shared" si="16"/>
        <v>0</v>
      </c>
      <c r="D264">
        <f t="shared" si="17"/>
        <v>0</v>
      </c>
      <c r="E264">
        <f t="shared" si="18"/>
        <v>1</v>
      </c>
      <c r="F264">
        <f t="shared" si="19"/>
        <v>3</v>
      </c>
    </row>
    <row r="265" spans="1:6" x14ac:dyDescent="0.2">
      <c r="A265" t="s">
        <v>413</v>
      </c>
      <c r="B265" t="s">
        <v>418</v>
      </c>
      <c r="C265">
        <f t="shared" si="16"/>
        <v>1</v>
      </c>
      <c r="D265">
        <f t="shared" si="17"/>
        <v>1</v>
      </c>
      <c r="E265">
        <f t="shared" si="18"/>
        <v>0</v>
      </c>
      <c r="F265">
        <f t="shared" si="19"/>
        <v>2</v>
      </c>
    </row>
    <row r="266" spans="1:6" x14ac:dyDescent="0.2">
      <c r="A266" t="s">
        <v>414</v>
      </c>
      <c r="B266" t="s">
        <v>418</v>
      </c>
      <c r="C266">
        <f t="shared" si="16"/>
        <v>0</v>
      </c>
      <c r="D266">
        <f t="shared" si="17"/>
        <v>0</v>
      </c>
      <c r="E266">
        <f t="shared" si="18"/>
        <v>0</v>
      </c>
      <c r="F266">
        <f t="shared" si="19"/>
        <v>4</v>
      </c>
    </row>
    <row r="267" spans="1:6" x14ac:dyDescent="0.2">
      <c r="A267" t="s">
        <v>414</v>
      </c>
      <c r="B267" t="s">
        <v>419</v>
      </c>
      <c r="C267">
        <f t="shared" si="16"/>
        <v>0</v>
      </c>
      <c r="D267">
        <f t="shared" si="17"/>
        <v>0</v>
      </c>
      <c r="E267">
        <f t="shared" si="18"/>
        <v>1</v>
      </c>
      <c r="F267">
        <f t="shared" si="19"/>
        <v>3</v>
      </c>
    </row>
    <row r="268" spans="1:6" x14ac:dyDescent="0.2">
      <c r="A268" t="s">
        <v>413</v>
      </c>
      <c r="B268" t="s">
        <v>418</v>
      </c>
      <c r="C268">
        <f t="shared" si="16"/>
        <v>1</v>
      </c>
      <c r="D268">
        <f t="shared" si="17"/>
        <v>1</v>
      </c>
      <c r="E268">
        <f t="shared" si="18"/>
        <v>0</v>
      </c>
      <c r="F268">
        <f t="shared" si="19"/>
        <v>2</v>
      </c>
    </row>
    <row r="269" spans="1:6" x14ac:dyDescent="0.2">
      <c r="A269" t="s">
        <v>415</v>
      </c>
      <c r="B269" t="s">
        <v>418</v>
      </c>
      <c r="C269">
        <f t="shared" si="16"/>
        <v>2</v>
      </c>
      <c r="D269">
        <f t="shared" si="17"/>
        <v>0</v>
      </c>
      <c r="E269">
        <f t="shared" si="18"/>
        <v>0</v>
      </c>
      <c r="F269">
        <f t="shared" si="19"/>
        <v>4</v>
      </c>
    </row>
    <row r="270" spans="1:6" x14ac:dyDescent="0.2">
      <c r="A270" t="s">
        <v>413</v>
      </c>
      <c r="B270" t="s">
        <v>419</v>
      </c>
      <c r="C270">
        <f t="shared" si="16"/>
        <v>1</v>
      </c>
      <c r="D270">
        <f t="shared" si="17"/>
        <v>1</v>
      </c>
      <c r="E270">
        <f t="shared" si="18"/>
        <v>1</v>
      </c>
      <c r="F270">
        <f t="shared" si="19"/>
        <v>1</v>
      </c>
    </row>
    <row r="271" spans="1:6" x14ac:dyDescent="0.2">
      <c r="A271" t="s">
        <v>413</v>
      </c>
      <c r="B271" t="s">
        <v>418</v>
      </c>
      <c r="C271">
        <f t="shared" si="16"/>
        <v>1</v>
      </c>
      <c r="D271">
        <f t="shared" si="17"/>
        <v>1</v>
      </c>
      <c r="E271">
        <f t="shared" si="18"/>
        <v>0</v>
      </c>
      <c r="F271">
        <f t="shared" si="19"/>
        <v>2</v>
      </c>
    </row>
    <row r="272" spans="1:6" x14ac:dyDescent="0.2">
      <c r="A272" t="s">
        <v>413</v>
      </c>
      <c r="B272" t="s">
        <v>418</v>
      </c>
      <c r="C272">
        <f t="shared" si="16"/>
        <v>1</v>
      </c>
      <c r="D272">
        <f t="shared" si="17"/>
        <v>1</v>
      </c>
      <c r="E272">
        <f t="shared" si="18"/>
        <v>0</v>
      </c>
      <c r="F272">
        <f t="shared" si="19"/>
        <v>2</v>
      </c>
    </row>
    <row r="273" spans="1:6" x14ac:dyDescent="0.2">
      <c r="A273" t="s">
        <v>414</v>
      </c>
      <c r="B273" t="s">
        <v>418</v>
      </c>
      <c r="C273">
        <f t="shared" si="16"/>
        <v>0</v>
      </c>
      <c r="D273">
        <f t="shared" si="17"/>
        <v>0</v>
      </c>
      <c r="E273">
        <f t="shared" si="18"/>
        <v>0</v>
      </c>
      <c r="F273">
        <f t="shared" si="19"/>
        <v>4</v>
      </c>
    </row>
    <row r="274" spans="1:6" x14ac:dyDescent="0.2">
      <c r="A274" t="s">
        <v>413</v>
      </c>
      <c r="B274" t="s">
        <v>418</v>
      </c>
      <c r="C274">
        <f t="shared" si="16"/>
        <v>1</v>
      </c>
      <c r="D274">
        <f t="shared" si="17"/>
        <v>1</v>
      </c>
      <c r="E274">
        <f t="shared" si="18"/>
        <v>0</v>
      </c>
      <c r="F274">
        <f t="shared" si="19"/>
        <v>2</v>
      </c>
    </row>
    <row r="275" spans="1:6" x14ac:dyDescent="0.2">
      <c r="A275" t="s">
        <v>414</v>
      </c>
      <c r="B275" t="s">
        <v>418</v>
      </c>
      <c r="C275">
        <f t="shared" si="16"/>
        <v>0</v>
      </c>
      <c r="D275">
        <f t="shared" si="17"/>
        <v>0</v>
      </c>
      <c r="E275">
        <f t="shared" si="18"/>
        <v>0</v>
      </c>
      <c r="F275">
        <f t="shared" si="19"/>
        <v>4</v>
      </c>
    </row>
    <row r="276" spans="1:6" x14ac:dyDescent="0.2">
      <c r="A276" t="s">
        <v>414</v>
      </c>
      <c r="B276" t="s">
        <v>418</v>
      </c>
      <c r="C276">
        <f t="shared" si="16"/>
        <v>0</v>
      </c>
      <c r="D276">
        <f t="shared" si="17"/>
        <v>0</v>
      </c>
      <c r="E276">
        <f t="shared" si="18"/>
        <v>0</v>
      </c>
      <c r="F276">
        <f t="shared" si="19"/>
        <v>4</v>
      </c>
    </row>
    <row r="277" spans="1:6" x14ac:dyDescent="0.2">
      <c r="A277" t="s">
        <v>414</v>
      </c>
      <c r="B277" t="s">
        <v>418</v>
      </c>
      <c r="C277">
        <f t="shared" si="16"/>
        <v>0</v>
      </c>
      <c r="D277">
        <f t="shared" si="17"/>
        <v>0</v>
      </c>
      <c r="E277">
        <f t="shared" si="18"/>
        <v>0</v>
      </c>
      <c r="F277">
        <f t="shared" si="19"/>
        <v>4</v>
      </c>
    </row>
    <row r="278" spans="1:6" x14ac:dyDescent="0.2">
      <c r="A278" t="s">
        <v>414</v>
      </c>
      <c r="B278" t="s">
        <v>418</v>
      </c>
      <c r="C278">
        <f t="shared" si="16"/>
        <v>0</v>
      </c>
      <c r="D278">
        <f t="shared" si="17"/>
        <v>0</v>
      </c>
      <c r="E278">
        <f t="shared" si="18"/>
        <v>0</v>
      </c>
      <c r="F278">
        <f t="shared" si="19"/>
        <v>4</v>
      </c>
    </row>
    <row r="279" spans="1:6" x14ac:dyDescent="0.2">
      <c r="A279" t="s">
        <v>414</v>
      </c>
      <c r="B279" t="s">
        <v>418</v>
      </c>
      <c r="C279">
        <f t="shared" si="16"/>
        <v>0</v>
      </c>
      <c r="D279">
        <f t="shared" si="17"/>
        <v>0</v>
      </c>
      <c r="E279">
        <f t="shared" si="18"/>
        <v>0</v>
      </c>
      <c r="F279">
        <f t="shared" si="19"/>
        <v>4</v>
      </c>
    </row>
    <row r="280" spans="1:6" x14ac:dyDescent="0.2">
      <c r="A280" t="s">
        <v>414</v>
      </c>
      <c r="B280" t="s">
        <v>419</v>
      </c>
      <c r="C280">
        <f t="shared" si="16"/>
        <v>0</v>
      </c>
      <c r="D280">
        <f t="shared" si="17"/>
        <v>0</v>
      </c>
      <c r="E280">
        <f t="shared" si="18"/>
        <v>1</v>
      </c>
      <c r="F280">
        <f t="shared" si="19"/>
        <v>3</v>
      </c>
    </row>
    <row r="281" spans="1:6" x14ac:dyDescent="0.2">
      <c r="A281" t="s">
        <v>413</v>
      </c>
      <c r="B281" t="s">
        <v>419</v>
      </c>
      <c r="C281">
        <f t="shared" si="16"/>
        <v>1</v>
      </c>
      <c r="D281">
        <f t="shared" si="17"/>
        <v>1</v>
      </c>
      <c r="E281">
        <f t="shared" si="18"/>
        <v>1</v>
      </c>
      <c r="F281">
        <f t="shared" si="19"/>
        <v>1</v>
      </c>
    </row>
    <row r="282" spans="1:6" x14ac:dyDescent="0.2">
      <c r="A282" t="s">
        <v>413</v>
      </c>
      <c r="B282" t="s">
        <v>418</v>
      </c>
      <c r="C282">
        <f t="shared" si="16"/>
        <v>1</v>
      </c>
      <c r="D282">
        <f t="shared" si="17"/>
        <v>1</v>
      </c>
      <c r="E282">
        <f t="shared" si="18"/>
        <v>0</v>
      </c>
      <c r="F282">
        <f t="shared" si="19"/>
        <v>2</v>
      </c>
    </row>
    <row r="283" spans="1:6" x14ac:dyDescent="0.2">
      <c r="A283" t="s">
        <v>415</v>
      </c>
      <c r="B283" t="s">
        <v>419</v>
      </c>
      <c r="C283">
        <f t="shared" si="16"/>
        <v>2</v>
      </c>
      <c r="D283">
        <f t="shared" si="17"/>
        <v>0</v>
      </c>
      <c r="E283">
        <f t="shared" si="18"/>
        <v>1</v>
      </c>
      <c r="F283">
        <f t="shared" si="19"/>
        <v>3</v>
      </c>
    </row>
    <row r="284" spans="1:6" x14ac:dyDescent="0.2">
      <c r="A284" t="s">
        <v>413</v>
      </c>
      <c r="B284" t="s">
        <v>419</v>
      </c>
      <c r="C284">
        <f t="shared" si="16"/>
        <v>1</v>
      </c>
      <c r="D284">
        <f t="shared" si="17"/>
        <v>1</v>
      </c>
      <c r="E284">
        <f t="shared" si="18"/>
        <v>1</v>
      </c>
      <c r="F284">
        <f t="shared" si="19"/>
        <v>1</v>
      </c>
    </row>
    <row r="285" spans="1:6" x14ac:dyDescent="0.2">
      <c r="A285" t="s">
        <v>415</v>
      </c>
      <c r="B285" t="s">
        <v>418</v>
      </c>
      <c r="C285">
        <f t="shared" si="16"/>
        <v>2</v>
      </c>
      <c r="D285">
        <f t="shared" si="17"/>
        <v>0</v>
      </c>
      <c r="E285">
        <f t="shared" si="18"/>
        <v>0</v>
      </c>
      <c r="F285">
        <f t="shared" si="19"/>
        <v>4</v>
      </c>
    </row>
    <row r="286" spans="1:6" x14ac:dyDescent="0.2">
      <c r="A286" t="s">
        <v>414</v>
      </c>
      <c r="B286" t="s">
        <v>419</v>
      </c>
      <c r="C286">
        <f t="shared" si="16"/>
        <v>0</v>
      </c>
      <c r="D286">
        <f t="shared" si="17"/>
        <v>0</v>
      </c>
      <c r="E286">
        <f t="shared" si="18"/>
        <v>1</v>
      </c>
      <c r="F286">
        <f t="shared" si="19"/>
        <v>3</v>
      </c>
    </row>
    <row r="287" spans="1:6" x14ac:dyDescent="0.2">
      <c r="A287" t="s">
        <v>414</v>
      </c>
      <c r="B287" t="s">
        <v>419</v>
      </c>
      <c r="C287">
        <f t="shared" si="16"/>
        <v>0</v>
      </c>
      <c r="D287">
        <f t="shared" si="17"/>
        <v>0</v>
      </c>
      <c r="E287">
        <f t="shared" si="18"/>
        <v>1</v>
      </c>
      <c r="F287">
        <f t="shared" si="19"/>
        <v>3</v>
      </c>
    </row>
    <row r="288" spans="1:6" x14ac:dyDescent="0.2">
      <c r="A288" t="s">
        <v>414</v>
      </c>
      <c r="B288" t="s">
        <v>418</v>
      </c>
      <c r="C288">
        <f t="shared" si="16"/>
        <v>0</v>
      </c>
      <c r="D288">
        <f t="shared" si="17"/>
        <v>0</v>
      </c>
      <c r="E288">
        <f t="shared" si="18"/>
        <v>0</v>
      </c>
      <c r="F288">
        <f t="shared" si="19"/>
        <v>4</v>
      </c>
    </row>
    <row r="289" spans="1:6" x14ac:dyDescent="0.2">
      <c r="A289" t="s">
        <v>413</v>
      </c>
      <c r="B289" t="s">
        <v>419</v>
      </c>
      <c r="C289">
        <f t="shared" si="16"/>
        <v>1</v>
      </c>
      <c r="D289">
        <f t="shared" si="17"/>
        <v>1</v>
      </c>
      <c r="E289">
        <f t="shared" si="18"/>
        <v>1</v>
      </c>
      <c r="F289">
        <f t="shared" si="19"/>
        <v>1</v>
      </c>
    </row>
    <row r="290" spans="1:6" x14ac:dyDescent="0.2">
      <c r="A290" t="s">
        <v>414</v>
      </c>
      <c r="B290" t="s">
        <v>419</v>
      </c>
      <c r="C290">
        <f t="shared" si="16"/>
        <v>0</v>
      </c>
      <c r="D290">
        <f t="shared" si="17"/>
        <v>0</v>
      </c>
      <c r="E290">
        <f t="shared" si="18"/>
        <v>1</v>
      </c>
      <c r="F290">
        <f t="shared" si="19"/>
        <v>3</v>
      </c>
    </row>
    <row r="291" spans="1:6" x14ac:dyDescent="0.2">
      <c r="A291" t="s">
        <v>414</v>
      </c>
      <c r="B291" t="s">
        <v>418</v>
      </c>
      <c r="C291">
        <f t="shared" si="16"/>
        <v>0</v>
      </c>
      <c r="D291">
        <f t="shared" si="17"/>
        <v>0</v>
      </c>
      <c r="E291">
        <f t="shared" si="18"/>
        <v>0</v>
      </c>
      <c r="F291">
        <f t="shared" si="19"/>
        <v>4</v>
      </c>
    </row>
    <row r="292" spans="1:6" x14ac:dyDescent="0.2">
      <c r="A292" t="s">
        <v>414</v>
      </c>
      <c r="B292" t="s">
        <v>419</v>
      </c>
      <c r="C292">
        <f t="shared" si="16"/>
        <v>0</v>
      </c>
      <c r="D292">
        <f t="shared" si="17"/>
        <v>0</v>
      </c>
      <c r="E292">
        <f t="shared" si="18"/>
        <v>1</v>
      </c>
      <c r="F292">
        <f t="shared" si="19"/>
        <v>3</v>
      </c>
    </row>
    <row r="293" spans="1:6" x14ac:dyDescent="0.2">
      <c r="A293" t="s">
        <v>414</v>
      </c>
      <c r="B293" t="s">
        <v>419</v>
      </c>
      <c r="C293">
        <f t="shared" si="16"/>
        <v>0</v>
      </c>
      <c r="D293">
        <f t="shared" si="17"/>
        <v>0</v>
      </c>
      <c r="E293">
        <f t="shared" si="18"/>
        <v>1</v>
      </c>
      <c r="F293">
        <f t="shared" si="19"/>
        <v>3</v>
      </c>
    </row>
    <row r="294" spans="1:6" x14ac:dyDescent="0.2">
      <c r="A294" t="s">
        <v>414</v>
      </c>
      <c r="B294" t="s">
        <v>419</v>
      </c>
      <c r="C294">
        <f t="shared" si="16"/>
        <v>0</v>
      </c>
      <c r="D294">
        <f t="shared" si="17"/>
        <v>0</v>
      </c>
      <c r="E294">
        <f t="shared" si="18"/>
        <v>1</v>
      </c>
      <c r="F294">
        <f t="shared" si="19"/>
        <v>3</v>
      </c>
    </row>
    <row r="295" spans="1:6" x14ac:dyDescent="0.2">
      <c r="A295" t="s">
        <v>413</v>
      </c>
      <c r="B295" t="s">
        <v>418</v>
      </c>
      <c r="C295">
        <f t="shared" si="16"/>
        <v>1</v>
      </c>
      <c r="D295">
        <f t="shared" si="17"/>
        <v>1</v>
      </c>
      <c r="E295">
        <f t="shared" si="18"/>
        <v>0</v>
      </c>
      <c r="F295">
        <f t="shared" si="19"/>
        <v>2</v>
      </c>
    </row>
    <row r="296" spans="1:6" x14ac:dyDescent="0.2">
      <c r="A296" t="s">
        <v>415</v>
      </c>
      <c r="B296" t="s">
        <v>418</v>
      </c>
      <c r="C296">
        <f t="shared" si="16"/>
        <v>2</v>
      </c>
      <c r="D296">
        <f t="shared" si="17"/>
        <v>0</v>
      </c>
      <c r="E296">
        <f t="shared" si="18"/>
        <v>0</v>
      </c>
      <c r="F296">
        <f t="shared" si="19"/>
        <v>4</v>
      </c>
    </row>
    <row r="297" spans="1:6" x14ac:dyDescent="0.2">
      <c r="A297" t="s">
        <v>415</v>
      </c>
      <c r="B297" t="s">
        <v>418</v>
      </c>
      <c r="C297">
        <f t="shared" si="16"/>
        <v>2</v>
      </c>
      <c r="D297">
        <f t="shared" si="17"/>
        <v>0</v>
      </c>
      <c r="E297">
        <f t="shared" si="18"/>
        <v>0</v>
      </c>
      <c r="F297">
        <f t="shared" si="19"/>
        <v>4</v>
      </c>
    </row>
    <row r="298" spans="1:6" x14ac:dyDescent="0.2">
      <c r="A298" t="s">
        <v>414</v>
      </c>
      <c r="B298" t="s">
        <v>419</v>
      </c>
      <c r="C298">
        <f t="shared" si="16"/>
        <v>0</v>
      </c>
      <c r="D298">
        <f t="shared" si="17"/>
        <v>0</v>
      </c>
      <c r="E298">
        <f t="shared" si="18"/>
        <v>1</v>
      </c>
      <c r="F298">
        <f t="shared" si="19"/>
        <v>3</v>
      </c>
    </row>
    <row r="299" spans="1:6" x14ac:dyDescent="0.2">
      <c r="A299" t="s">
        <v>413</v>
      </c>
      <c r="B299" t="s">
        <v>419</v>
      </c>
      <c r="C299">
        <f t="shared" si="16"/>
        <v>1</v>
      </c>
      <c r="D299">
        <f t="shared" si="17"/>
        <v>1</v>
      </c>
      <c r="E299">
        <f t="shared" si="18"/>
        <v>1</v>
      </c>
      <c r="F299">
        <f t="shared" si="19"/>
        <v>1</v>
      </c>
    </row>
    <row r="300" spans="1:6" x14ac:dyDescent="0.2">
      <c r="A300" t="s">
        <v>413</v>
      </c>
      <c r="B300" t="s">
        <v>419</v>
      </c>
      <c r="C300">
        <f t="shared" si="16"/>
        <v>1</v>
      </c>
      <c r="D300">
        <f t="shared" si="17"/>
        <v>1</v>
      </c>
      <c r="E300">
        <f t="shared" si="18"/>
        <v>1</v>
      </c>
      <c r="F300">
        <f t="shared" si="19"/>
        <v>1</v>
      </c>
    </row>
    <row r="301" spans="1:6" x14ac:dyDescent="0.2">
      <c r="A301" t="s">
        <v>414</v>
      </c>
      <c r="B301" t="s">
        <v>418</v>
      </c>
      <c r="C301">
        <f t="shared" si="16"/>
        <v>0</v>
      </c>
      <c r="D301">
        <f t="shared" si="17"/>
        <v>0</v>
      </c>
      <c r="E301">
        <f t="shared" si="18"/>
        <v>0</v>
      </c>
      <c r="F301">
        <f t="shared" si="19"/>
        <v>4</v>
      </c>
    </row>
    <row r="302" spans="1:6" x14ac:dyDescent="0.2">
      <c r="A302" t="s">
        <v>414</v>
      </c>
      <c r="B302" t="s">
        <v>418</v>
      </c>
      <c r="C302">
        <f t="shared" si="16"/>
        <v>0</v>
      </c>
      <c r="D302">
        <f t="shared" si="17"/>
        <v>0</v>
      </c>
      <c r="E302">
        <f t="shared" si="18"/>
        <v>0</v>
      </c>
      <c r="F302">
        <f t="shared" si="19"/>
        <v>4</v>
      </c>
    </row>
    <row r="303" spans="1:6" x14ac:dyDescent="0.2">
      <c r="A303" t="s">
        <v>413</v>
      </c>
      <c r="B303" t="s">
        <v>419</v>
      </c>
      <c r="C303">
        <f t="shared" si="16"/>
        <v>1</v>
      </c>
      <c r="D303">
        <f t="shared" si="17"/>
        <v>1</v>
      </c>
      <c r="E303">
        <f t="shared" si="18"/>
        <v>1</v>
      </c>
      <c r="F303">
        <f t="shared" si="19"/>
        <v>1</v>
      </c>
    </row>
    <row r="304" spans="1:6" x14ac:dyDescent="0.2">
      <c r="A304" t="s">
        <v>414</v>
      </c>
      <c r="B304" t="s">
        <v>418</v>
      </c>
      <c r="C304">
        <f t="shared" si="16"/>
        <v>0</v>
      </c>
      <c r="D304">
        <f t="shared" si="17"/>
        <v>0</v>
      </c>
      <c r="E304">
        <f t="shared" si="18"/>
        <v>0</v>
      </c>
      <c r="F304">
        <f t="shared" si="19"/>
        <v>4</v>
      </c>
    </row>
    <row r="305" spans="1:6" x14ac:dyDescent="0.2">
      <c r="A305" t="s">
        <v>414</v>
      </c>
      <c r="B305" t="s">
        <v>418</v>
      </c>
      <c r="C305">
        <f t="shared" si="16"/>
        <v>0</v>
      </c>
      <c r="D305">
        <f t="shared" si="17"/>
        <v>0</v>
      </c>
      <c r="E305">
        <f t="shared" si="18"/>
        <v>0</v>
      </c>
      <c r="F305">
        <f t="shared" si="19"/>
        <v>4</v>
      </c>
    </row>
    <row r="306" spans="1:6" x14ac:dyDescent="0.2">
      <c r="A306" t="s">
        <v>414</v>
      </c>
      <c r="B306" t="s">
        <v>419</v>
      </c>
      <c r="C306">
        <f t="shared" si="16"/>
        <v>0</v>
      </c>
      <c r="D306">
        <f t="shared" si="17"/>
        <v>0</v>
      </c>
      <c r="E306">
        <f t="shared" si="18"/>
        <v>1</v>
      </c>
      <c r="F306">
        <f t="shared" si="19"/>
        <v>3</v>
      </c>
    </row>
    <row r="307" spans="1:6" x14ac:dyDescent="0.2">
      <c r="A307" t="s">
        <v>413</v>
      </c>
      <c r="B307" t="s">
        <v>419</v>
      </c>
      <c r="C307">
        <f t="shared" si="16"/>
        <v>1</v>
      </c>
      <c r="D307">
        <f t="shared" si="17"/>
        <v>1</v>
      </c>
      <c r="E307">
        <f t="shared" si="18"/>
        <v>1</v>
      </c>
      <c r="F307">
        <f t="shared" si="19"/>
        <v>1</v>
      </c>
    </row>
    <row r="308" spans="1:6" x14ac:dyDescent="0.2">
      <c r="A308" t="s">
        <v>413</v>
      </c>
      <c r="B308" t="s">
        <v>418</v>
      </c>
      <c r="C308">
        <f t="shared" si="16"/>
        <v>1</v>
      </c>
      <c r="D308">
        <f t="shared" si="17"/>
        <v>1</v>
      </c>
      <c r="E308">
        <f t="shared" si="18"/>
        <v>0</v>
      </c>
      <c r="F308">
        <f t="shared" si="19"/>
        <v>2</v>
      </c>
    </row>
    <row r="309" spans="1:6" x14ac:dyDescent="0.2">
      <c r="A309" t="s">
        <v>414</v>
      </c>
      <c r="B309" t="s">
        <v>418</v>
      </c>
      <c r="C309">
        <f t="shared" si="16"/>
        <v>0</v>
      </c>
      <c r="D309">
        <f t="shared" si="17"/>
        <v>0</v>
      </c>
      <c r="E309">
        <f t="shared" si="18"/>
        <v>0</v>
      </c>
      <c r="F309">
        <f t="shared" si="19"/>
        <v>4</v>
      </c>
    </row>
    <row r="310" spans="1:6" x14ac:dyDescent="0.2">
      <c r="A310" t="s">
        <v>413</v>
      </c>
      <c r="B310" t="s">
        <v>418</v>
      </c>
      <c r="C310">
        <f t="shared" si="16"/>
        <v>1</v>
      </c>
      <c r="D310">
        <f t="shared" si="17"/>
        <v>1</v>
      </c>
      <c r="E310">
        <f t="shared" si="18"/>
        <v>0</v>
      </c>
      <c r="F310">
        <f t="shared" si="19"/>
        <v>2</v>
      </c>
    </row>
    <row r="311" spans="1:6" x14ac:dyDescent="0.2">
      <c r="A311" t="s">
        <v>415</v>
      </c>
      <c r="B311" t="s">
        <v>419</v>
      </c>
      <c r="C311">
        <f t="shared" si="16"/>
        <v>2</v>
      </c>
      <c r="D311">
        <f t="shared" si="17"/>
        <v>0</v>
      </c>
      <c r="E311">
        <f t="shared" si="18"/>
        <v>1</v>
      </c>
      <c r="F311">
        <f t="shared" si="19"/>
        <v>3</v>
      </c>
    </row>
    <row r="312" spans="1:6" x14ac:dyDescent="0.2">
      <c r="A312" t="s">
        <v>414</v>
      </c>
      <c r="B312" t="s">
        <v>418</v>
      </c>
      <c r="C312">
        <f t="shared" si="16"/>
        <v>0</v>
      </c>
      <c r="D312">
        <f t="shared" si="17"/>
        <v>0</v>
      </c>
      <c r="E312">
        <f t="shared" si="18"/>
        <v>0</v>
      </c>
      <c r="F312">
        <f t="shared" si="19"/>
        <v>4</v>
      </c>
    </row>
    <row r="313" spans="1:6" x14ac:dyDescent="0.2">
      <c r="A313" t="s">
        <v>414</v>
      </c>
      <c r="B313" t="s">
        <v>418</v>
      </c>
      <c r="C313">
        <f t="shared" si="16"/>
        <v>0</v>
      </c>
      <c r="D313">
        <f t="shared" si="17"/>
        <v>0</v>
      </c>
      <c r="E313">
        <f t="shared" si="18"/>
        <v>0</v>
      </c>
      <c r="F313">
        <f t="shared" si="19"/>
        <v>4</v>
      </c>
    </row>
    <row r="314" spans="1:6" x14ac:dyDescent="0.2">
      <c r="A314" t="s">
        <v>413</v>
      </c>
      <c r="B314" t="s">
        <v>419</v>
      </c>
      <c r="C314">
        <f t="shared" si="16"/>
        <v>1</v>
      </c>
      <c r="D314">
        <f t="shared" si="17"/>
        <v>1</v>
      </c>
      <c r="E314">
        <f t="shared" si="18"/>
        <v>1</v>
      </c>
      <c r="F314">
        <f t="shared" si="19"/>
        <v>1</v>
      </c>
    </row>
    <row r="315" spans="1:6" x14ac:dyDescent="0.2">
      <c r="A315" t="s">
        <v>415</v>
      </c>
      <c r="B315" t="s">
        <v>419</v>
      </c>
      <c r="C315">
        <f t="shared" si="16"/>
        <v>2</v>
      </c>
      <c r="D315">
        <f t="shared" si="17"/>
        <v>0</v>
      </c>
      <c r="E315">
        <f t="shared" si="18"/>
        <v>1</v>
      </c>
      <c r="F315">
        <f t="shared" si="19"/>
        <v>3</v>
      </c>
    </row>
    <row r="316" spans="1:6" x14ac:dyDescent="0.2">
      <c r="A316" t="s">
        <v>414</v>
      </c>
      <c r="B316" t="s">
        <v>419</v>
      </c>
      <c r="C316">
        <f t="shared" si="16"/>
        <v>0</v>
      </c>
      <c r="D316">
        <f t="shared" si="17"/>
        <v>0</v>
      </c>
      <c r="E316">
        <f t="shared" si="18"/>
        <v>1</v>
      </c>
      <c r="F316">
        <f t="shared" si="19"/>
        <v>3</v>
      </c>
    </row>
    <row r="317" spans="1:6" x14ac:dyDescent="0.2">
      <c r="A317" t="s">
        <v>414</v>
      </c>
      <c r="B317" t="s">
        <v>418</v>
      </c>
      <c r="C317">
        <f t="shared" si="16"/>
        <v>0</v>
      </c>
      <c r="D317">
        <f t="shared" si="17"/>
        <v>0</v>
      </c>
      <c r="E317">
        <f t="shared" si="18"/>
        <v>0</v>
      </c>
      <c r="F317">
        <f t="shared" si="19"/>
        <v>4</v>
      </c>
    </row>
    <row r="318" spans="1:6" x14ac:dyDescent="0.2">
      <c r="A318" t="s">
        <v>414</v>
      </c>
      <c r="B318" t="s">
        <v>419</v>
      </c>
      <c r="C318">
        <f t="shared" si="16"/>
        <v>0</v>
      </c>
      <c r="D318">
        <f t="shared" si="17"/>
        <v>0</v>
      </c>
      <c r="E318">
        <f t="shared" si="18"/>
        <v>1</v>
      </c>
      <c r="F318">
        <f t="shared" si="19"/>
        <v>3</v>
      </c>
    </row>
    <row r="319" spans="1:6" x14ac:dyDescent="0.2">
      <c r="A319" t="s">
        <v>414</v>
      </c>
      <c r="B319" t="s">
        <v>419</v>
      </c>
      <c r="C319">
        <f t="shared" si="16"/>
        <v>0</v>
      </c>
      <c r="D319">
        <f t="shared" si="17"/>
        <v>0</v>
      </c>
      <c r="E319">
        <f t="shared" si="18"/>
        <v>1</v>
      </c>
      <c r="F319">
        <f t="shared" si="19"/>
        <v>3</v>
      </c>
    </row>
    <row r="320" spans="1:6" x14ac:dyDescent="0.2">
      <c r="A320" t="s">
        <v>414</v>
      </c>
      <c r="B320" t="s">
        <v>419</v>
      </c>
      <c r="C320">
        <f t="shared" si="16"/>
        <v>0</v>
      </c>
      <c r="D320">
        <f t="shared" si="17"/>
        <v>0</v>
      </c>
      <c r="E320">
        <f t="shared" si="18"/>
        <v>1</v>
      </c>
      <c r="F320">
        <f t="shared" si="19"/>
        <v>3</v>
      </c>
    </row>
    <row r="321" spans="1:6" x14ac:dyDescent="0.2">
      <c r="A321" t="s">
        <v>414</v>
      </c>
      <c r="B321" t="s">
        <v>418</v>
      </c>
      <c r="C321">
        <f t="shared" si="16"/>
        <v>0</v>
      </c>
      <c r="D321">
        <f t="shared" si="17"/>
        <v>0</v>
      </c>
      <c r="E321">
        <f t="shared" si="18"/>
        <v>0</v>
      </c>
      <c r="F321">
        <f t="shared" si="19"/>
        <v>4</v>
      </c>
    </row>
    <row r="322" spans="1:6" x14ac:dyDescent="0.2">
      <c r="A322" t="s">
        <v>414</v>
      </c>
      <c r="B322" t="s">
        <v>419</v>
      </c>
      <c r="C322">
        <f t="shared" si="16"/>
        <v>0</v>
      </c>
      <c r="D322">
        <f t="shared" si="17"/>
        <v>0</v>
      </c>
      <c r="E322">
        <f t="shared" si="18"/>
        <v>1</v>
      </c>
      <c r="F322">
        <f t="shared" si="19"/>
        <v>3</v>
      </c>
    </row>
    <row r="323" spans="1:6" x14ac:dyDescent="0.2">
      <c r="A323" t="s">
        <v>414</v>
      </c>
      <c r="B323" t="s">
        <v>418</v>
      </c>
      <c r="C323">
        <f t="shared" ref="C323:C386" si="20">IF(A323="ASD",1,IF(A323="CON",0,2))</f>
        <v>0</v>
      </c>
      <c r="D323">
        <f t="shared" ref="D323:D386" si="21">IF(A323="ASD",1,0)</f>
        <v>0</v>
      </c>
      <c r="E323">
        <f t="shared" ref="E323:E386" si="22">IF(B323="M",0,1)</f>
        <v>0</v>
      </c>
      <c r="F323">
        <f t="shared" ref="F323:F386" si="23">IF(AND(A323="ASD",B323="F"),1,IF(AND(A323="ASD",B323="M"),2,IF(AND(A323&lt;&gt;"ASD",B323="F"),3,4)))</f>
        <v>4</v>
      </c>
    </row>
    <row r="324" spans="1:6" x14ac:dyDescent="0.2">
      <c r="A324" t="s">
        <v>414</v>
      </c>
      <c r="B324" t="s">
        <v>418</v>
      </c>
      <c r="C324">
        <f t="shared" si="20"/>
        <v>0</v>
      </c>
      <c r="D324">
        <f t="shared" si="21"/>
        <v>0</v>
      </c>
      <c r="E324">
        <f t="shared" si="22"/>
        <v>0</v>
      </c>
      <c r="F324">
        <f t="shared" si="23"/>
        <v>4</v>
      </c>
    </row>
    <row r="325" spans="1:6" x14ac:dyDescent="0.2">
      <c r="A325" t="s">
        <v>414</v>
      </c>
      <c r="B325" t="s">
        <v>419</v>
      </c>
      <c r="C325">
        <f t="shared" si="20"/>
        <v>0</v>
      </c>
      <c r="D325">
        <f t="shared" si="21"/>
        <v>0</v>
      </c>
      <c r="E325">
        <f t="shared" si="22"/>
        <v>1</v>
      </c>
      <c r="F325">
        <f t="shared" si="23"/>
        <v>3</v>
      </c>
    </row>
    <row r="326" spans="1:6" x14ac:dyDescent="0.2">
      <c r="A326" t="s">
        <v>414</v>
      </c>
      <c r="B326" t="s">
        <v>418</v>
      </c>
      <c r="C326">
        <f t="shared" si="20"/>
        <v>0</v>
      </c>
      <c r="D326">
        <f t="shared" si="21"/>
        <v>0</v>
      </c>
      <c r="E326">
        <f t="shared" si="22"/>
        <v>0</v>
      </c>
      <c r="F326">
        <f t="shared" si="23"/>
        <v>4</v>
      </c>
    </row>
    <row r="327" spans="1:6" x14ac:dyDescent="0.2">
      <c r="A327" t="s">
        <v>414</v>
      </c>
      <c r="B327" t="s">
        <v>419</v>
      </c>
      <c r="C327">
        <f t="shared" si="20"/>
        <v>0</v>
      </c>
      <c r="D327">
        <f t="shared" si="21"/>
        <v>0</v>
      </c>
      <c r="E327">
        <f t="shared" si="22"/>
        <v>1</v>
      </c>
      <c r="F327">
        <f t="shared" si="23"/>
        <v>3</v>
      </c>
    </row>
    <row r="328" spans="1:6" x14ac:dyDescent="0.2">
      <c r="A328" t="s">
        <v>414</v>
      </c>
      <c r="B328" t="s">
        <v>418</v>
      </c>
      <c r="C328">
        <f t="shared" si="20"/>
        <v>0</v>
      </c>
      <c r="D328">
        <f t="shared" si="21"/>
        <v>0</v>
      </c>
      <c r="E328">
        <f t="shared" si="22"/>
        <v>0</v>
      </c>
      <c r="F328">
        <f t="shared" si="23"/>
        <v>4</v>
      </c>
    </row>
    <row r="329" spans="1:6" x14ac:dyDescent="0.2">
      <c r="A329" t="s">
        <v>414</v>
      </c>
      <c r="B329" t="s">
        <v>418</v>
      </c>
      <c r="C329">
        <f t="shared" si="20"/>
        <v>0</v>
      </c>
      <c r="D329">
        <f t="shared" si="21"/>
        <v>0</v>
      </c>
      <c r="E329">
        <f t="shared" si="22"/>
        <v>0</v>
      </c>
      <c r="F329">
        <f t="shared" si="23"/>
        <v>4</v>
      </c>
    </row>
    <row r="330" spans="1:6" x14ac:dyDescent="0.2">
      <c r="A330" t="s">
        <v>414</v>
      </c>
      <c r="B330" t="s">
        <v>419</v>
      </c>
      <c r="C330">
        <f t="shared" si="20"/>
        <v>0</v>
      </c>
      <c r="D330">
        <f t="shared" si="21"/>
        <v>0</v>
      </c>
      <c r="E330">
        <f t="shared" si="22"/>
        <v>1</v>
      </c>
      <c r="F330">
        <f t="shared" si="23"/>
        <v>3</v>
      </c>
    </row>
    <row r="331" spans="1:6" x14ac:dyDescent="0.2">
      <c r="A331" t="s">
        <v>414</v>
      </c>
      <c r="B331" t="s">
        <v>418</v>
      </c>
      <c r="C331">
        <f t="shared" si="20"/>
        <v>0</v>
      </c>
      <c r="D331">
        <f t="shared" si="21"/>
        <v>0</v>
      </c>
      <c r="E331">
        <f t="shared" si="22"/>
        <v>0</v>
      </c>
      <c r="F331">
        <f t="shared" si="23"/>
        <v>4</v>
      </c>
    </row>
    <row r="332" spans="1:6" x14ac:dyDescent="0.2">
      <c r="A332" t="s">
        <v>414</v>
      </c>
      <c r="B332" t="s">
        <v>418</v>
      </c>
      <c r="C332">
        <f t="shared" si="20"/>
        <v>0</v>
      </c>
      <c r="D332">
        <f t="shared" si="21"/>
        <v>0</v>
      </c>
      <c r="E332">
        <f t="shared" si="22"/>
        <v>0</v>
      </c>
      <c r="F332">
        <f t="shared" si="23"/>
        <v>4</v>
      </c>
    </row>
    <row r="333" spans="1:6" x14ac:dyDescent="0.2">
      <c r="A333" t="s">
        <v>414</v>
      </c>
      <c r="B333" t="s">
        <v>418</v>
      </c>
      <c r="C333">
        <f t="shared" si="20"/>
        <v>0</v>
      </c>
      <c r="D333">
        <f t="shared" si="21"/>
        <v>0</v>
      </c>
      <c r="E333">
        <f t="shared" si="22"/>
        <v>0</v>
      </c>
      <c r="F333">
        <f t="shared" si="23"/>
        <v>4</v>
      </c>
    </row>
    <row r="334" spans="1:6" x14ac:dyDescent="0.2">
      <c r="A334" t="s">
        <v>414</v>
      </c>
      <c r="B334" t="s">
        <v>419</v>
      </c>
      <c r="C334">
        <f t="shared" si="20"/>
        <v>0</v>
      </c>
      <c r="D334">
        <f t="shared" si="21"/>
        <v>0</v>
      </c>
      <c r="E334">
        <f t="shared" si="22"/>
        <v>1</v>
      </c>
      <c r="F334">
        <f t="shared" si="23"/>
        <v>3</v>
      </c>
    </row>
    <row r="335" spans="1:6" x14ac:dyDescent="0.2">
      <c r="A335" t="s">
        <v>414</v>
      </c>
      <c r="B335" t="s">
        <v>419</v>
      </c>
      <c r="C335">
        <f t="shared" si="20"/>
        <v>0</v>
      </c>
      <c r="D335">
        <f t="shared" si="21"/>
        <v>0</v>
      </c>
      <c r="E335">
        <f t="shared" si="22"/>
        <v>1</v>
      </c>
      <c r="F335">
        <f t="shared" si="23"/>
        <v>3</v>
      </c>
    </row>
    <row r="336" spans="1:6" x14ac:dyDescent="0.2">
      <c r="A336" t="s">
        <v>414</v>
      </c>
      <c r="B336" t="s">
        <v>419</v>
      </c>
      <c r="C336">
        <f t="shared" si="20"/>
        <v>0</v>
      </c>
      <c r="D336">
        <f t="shared" si="21"/>
        <v>0</v>
      </c>
      <c r="E336">
        <f t="shared" si="22"/>
        <v>1</v>
      </c>
      <c r="F336">
        <f t="shared" si="23"/>
        <v>3</v>
      </c>
    </row>
    <row r="337" spans="1:6" x14ac:dyDescent="0.2">
      <c r="A337" t="s">
        <v>414</v>
      </c>
      <c r="B337" t="s">
        <v>419</v>
      </c>
      <c r="C337">
        <f t="shared" si="20"/>
        <v>0</v>
      </c>
      <c r="D337">
        <f t="shared" si="21"/>
        <v>0</v>
      </c>
      <c r="E337">
        <f t="shared" si="22"/>
        <v>1</v>
      </c>
      <c r="F337">
        <f t="shared" si="23"/>
        <v>3</v>
      </c>
    </row>
    <row r="338" spans="1:6" x14ac:dyDescent="0.2">
      <c r="A338" t="s">
        <v>414</v>
      </c>
      <c r="B338" t="s">
        <v>419</v>
      </c>
      <c r="C338">
        <f t="shared" si="20"/>
        <v>0</v>
      </c>
      <c r="D338">
        <f t="shared" si="21"/>
        <v>0</v>
      </c>
      <c r="E338">
        <f t="shared" si="22"/>
        <v>1</v>
      </c>
      <c r="F338">
        <f t="shared" si="23"/>
        <v>3</v>
      </c>
    </row>
    <row r="339" spans="1:6" x14ac:dyDescent="0.2">
      <c r="A339" t="s">
        <v>413</v>
      </c>
      <c r="B339" t="s">
        <v>419</v>
      </c>
      <c r="C339">
        <f t="shared" si="20"/>
        <v>1</v>
      </c>
      <c r="D339">
        <f t="shared" si="21"/>
        <v>1</v>
      </c>
      <c r="E339">
        <f t="shared" si="22"/>
        <v>1</v>
      </c>
      <c r="F339">
        <f t="shared" si="23"/>
        <v>1</v>
      </c>
    </row>
    <row r="340" spans="1:6" x14ac:dyDescent="0.2">
      <c r="A340" t="s">
        <v>413</v>
      </c>
      <c r="B340" t="s">
        <v>418</v>
      </c>
      <c r="C340">
        <f t="shared" si="20"/>
        <v>1</v>
      </c>
      <c r="D340">
        <f t="shared" si="21"/>
        <v>1</v>
      </c>
      <c r="E340">
        <f t="shared" si="22"/>
        <v>0</v>
      </c>
      <c r="F340">
        <f t="shared" si="23"/>
        <v>2</v>
      </c>
    </row>
    <row r="341" spans="1:6" x14ac:dyDescent="0.2">
      <c r="A341" t="s">
        <v>413</v>
      </c>
      <c r="B341" t="s">
        <v>418</v>
      </c>
      <c r="C341">
        <f t="shared" si="20"/>
        <v>1</v>
      </c>
      <c r="D341">
        <f t="shared" si="21"/>
        <v>1</v>
      </c>
      <c r="E341">
        <f t="shared" si="22"/>
        <v>0</v>
      </c>
      <c r="F341">
        <f t="shared" si="23"/>
        <v>2</v>
      </c>
    </row>
    <row r="342" spans="1:6" x14ac:dyDescent="0.2">
      <c r="A342" t="s">
        <v>415</v>
      </c>
      <c r="B342" t="s">
        <v>419</v>
      </c>
      <c r="C342">
        <f t="shared" si="20"/>
        <v>2</v>
      </c>
      <c r="D342">
        <f t="shared" si="21"/>
        <v>0</v>
      </c>
      <c r="E342">
        <f t="shared" si="22"/>
        <v>1</v>
      </c>
      <c r="F342">
        <f t="shared" si="23"/>
        <v>3</v>
      </c>
    </row>
    <row r="343" spans="1:6" x14ac:dyDescent="0.2">
      <c r="A343" t="s">
        <v>413</v>
      </c>
      <c r="B343" t="s">
        <v>418</v>
      </c>
      <c r="C343">
        <f t="shared" si="20"/>
        <v>1</v>
      </c>
      <c r="D343">
        <f t="shared" si="21"/>
        <v>1</v>
      </c>
      <c r="E343">
        <f t="shared" si="22"/>
        <v>0</v>
      </c>
      <c r="F343">
        <f t="shared" si="23"/>
        <v>2</v>
      </c>
    </row>
    <row r="344" spans="1:6" x14ac:dyDescent="0.2">
      <c r="A344" t="s">
        <v>413</v>
      </c>
      <c r="B344" t="s">
        <v>419</v>
      </c>
      <c r="C344">
        <f t="shared" si="20"/>
        <v>1</v>
      </c>
      <c r="D344">
        <f t="shared" si="21"/>
        <v>1</v>
      </c>
      <c r="E344">
        <f t="shared" si="22"/>
        <v>1</v>
      </c>
      <c r="F344">
        <f t="shared" si="23"/>
        <v>1</v>
      </c>
    </row>
    <row r="345" spans="1:6" x14ac:dyDescent="0.2">
      <c r="A345" t="s">
        <v>413</v>
      </c>
      <c r="B345" t="s">
        <v>419</v>
      </c>
      <c r="C345">
        <f t="shared" si="20"/>
        <v>1</v>
      </c>
      <c r="D345">
        <f t="shared" si="21"/>
        <v>1</v>
      </c>
      <c r="E345">
        <f t="shared" si="22"/>
        <v>1</v>
      </c>
      <c r="F345">
        <f t="shared" si="23"/>
        <v>1</v>
      </c>
    </row>
    <row r="346" spans="1:6" x14ac:dyDescent="0.2">
      <c r="A346" t="s">
        <v>415</v>
      </c>
      <c r="B346" t="s">
        <v>418</v>
      </c>
      <c r="C346">
        <f t="shared" si="20"/>
        <v>2</v>
      </c>
      <c r="D346">
        <f t="shared" si="21"/>
        <v>0</v>
      </c>
      <c r="E346">
        <f t="shared" si="22"/>
        <v>0</v>
      </c>
      <c r="F346">
        <f t="shared" si="23"/>
        <v>4</v>
      </c>
    </row>
    <row r="347" spans="1:6" x14ac:dyDescent="0.2">
      <c r="A347" t="s">
        <v>413</v>
      </c>
      <c r="B347" t="s">
        <v>419</v>
      </c>
      <c r="C347">
        <f t="shared" si="20"/>
        <v>1</v>
      </c>
      <c r="D347">
        <f t="shared" si="21"/>
        <v>1</v>
      </c>
      <c r="E347">
        <f t="shared" si="22"/>
        <v>1</v>
      </c>
      <c r="F347">
        <f t="shared" si="23"/>
        <v>1</v>
      </c>
    </row>
    <row r="348" spans="1:6" x14ac:dyDescent="0.2">
      <c r="A348" t="s">
        <v>413</v>
      </c>
      <c r="B348" t="s">
        <v>419</v>
      </c>
      <c r="C348">
        <f t="shared" si="20"/>
        <v>1</v>
      </c>
      <c r="D348">
        <f t="shared" si="21"/>
        <v>1</v>
      </c>
      <c r="E348">
        <f t="shared" si="22"/>
        <v>1</v>
      </c>
      <c r="F348">
        <f t="shared" si="23"/>
        <v>1</v>
      </c>
    </row>
    <row r="349" spans="1:6" x14ac:dyDescent="0.2">
      <c r="A349" t="s">
        <v>413</v>
      </c>
      <c r="B349" t="s">
        <v>418</v>
      </c>
      <c r="C349">
        <f t="shared" si="20"/>
        <v>1</v>
      </c>
      <c r="D349">
        <f t="shared" si="21"/>
        <v>1</v>
      </c>
      <c r="E349">
        <f t="shared" si="22"/>
        <v>0</v>
      </c>
      <c r="F349">
        <f t="shared" si="23"/>
        <v>2</v>
      </c>
    </row>
    <row r="350" spans="1:6" x14ac:dyDescent="0.2">
      <c r="A350" t="s">
        <v>413</v>
      </c>
      <c r="B350" t="s">
        <v>418</v>
      </c>
      <c r="C350">
        <f t="shared" si="20"/>
        <v>1</v>
      </c>
      <c r="D350">
        <f t="shared" si="21"/>
        <v>1</v>
      </c>
      <c r="E350">
        <f t="shared" si="22"/>
        <v>0</v>
      </c>
      <c r="F350">
        <f t="shared" si="23"/>
        <v>2</v>
      </c>
    </row>
    <row r="351" spans="1:6" x14ac:dyDescent="0.2">
      <c r="A351" t="s">
        <v>413</v>
      </c>
      <c r="B351" t="s">
        <v>419</v>
      </c>
      <c r="C351">
        <f t="shared" si="20"/>
        <v>1</v>
      </c>
      <c r="D351">
        <f t="shared" si="21"/>
        <v>1</v>
      </c>
      <c r="E351">
        <f t="shared" si="22"/>
        <v>1</v>
      </c>
      <c r="F351">
        <f t="shared" si="23"/>
        <v>1</v>
      </c>
    </row>
    <row r="352" spans="1:6" x14ac:dyDescent="0.2">
      <c r="A352" t="s">
        <v>413</v>
      </c>
      <c r="B352" t="s">
        <v>419</v>
      </c>
      <c r="C352">
        <f t="shared" si="20"/>
        <v>1</v>
      </c>
      <c r="D352">
        <f t="shared" si="21"/>
        <v>1</v>
      </c>
      <c r="E352">
        <f t="shared" si="22"/>
        <v>1</v>
      </c>
      <c r="F352">
        <f t="shared" si="23"/>
        <v>1</v>
      </c>
    </row>
    <row r="353" spans="1:6" x14ac:dyDescent="0.2">
      <c r="A353" t="s">
        <v>413</v>
      </c>
      <c r="B353" t="s">
        <v>419</v>
      </c>
      <c r="C353">
        <f t="shared" si="20"/>
        <v>1</v>
      </c>
      <c r="D353">
        <f t="shared" si="21"/>
        <v>1</v>
      </c>
      <c r="E353">
        <f t="shared" si="22"/>
        <v>1</v>
      </c>
      <c r="F353">
        <f t="shared" si="23"/>
        <v>1</v>
      </c>
    </row>
    <row r="354" spans="1:6" x14ac:dyDescent="0.2">
      <c r="A354" t="s">
        <v>413</v>
      </c>
      <c r="B354" t="s">
        <v>418</v>
      </c>
      <c r="C354">
        <f t="shared" si="20"/>
        <v>1</v>
      </c>
      <c r="D354">
        <f t="shared" si="21"/>
        <v>1</v>
      </c>
      <c r="E354">
        <f t="shared" si="22"/>
        <v>0</v>
      </c>
      <c r="F354">
        <f t="shared" si="23"/>
        <v>2</v>
      </c>
    </row>
    <row r="355" spans="1:6" x14ac:dyDescent="0.2">
      <c r="A355" t="s">
        <v>413</v>
      </c>
      <c r="B355" t="s">
        <v>419</v>
      </c>
      <c r="C355">
        <f t="shared" si="20"/>
        <v>1</v>
      </c>
      <c r="D355">
        <f t="shared" si="21"/>
        <v>1</v>
      </c>
      <c r="E355">
        <f t="shared" si="22"/>
        <v>1</v>
      </c>
      <c r="F355">
        <f t="shared" si="23"/>
        <v>1</v>
      </c>
    </row>
    <row r="356" spans="1:6" x14ac:dyDescent="0.2">
      <c r="A356" t="s">
        <v>415</v>
      </c>
      <c r="B356" t="s">
        <v>418</v>
      </c>
      <c r="C356">
        <f t="shared" si="20"/>
        <v>2</v>
      </c>
      <c r="D356">
        <f t="shared" si="21"/>
        <v>0</v>
      </c>
      <c r="E356">
        <f t="shared" si="22"/>
        <v>0</v>
      </c>
      <c r="F356">
        <f t="shared" si="23"/>
        <v>4</v>
      </c>
    </row>
    <row r="357" spans="1:6" x14ac:dyDescent="0.2">
      <c r="A357" t="s">
        <v>413</v>
      </c>
      <c r="B357" t="s">
        <v>419</v>
      </c>
      <c r="C357">
        <f t="shared" si="20"/>
        <v>1</v>
      </c>
      <c r="D357">
        <f t="shared" si="21"/>
        <v>1</v>
      </c>
      <c r="E357">
        <f t="shared" si="22"/>
        <v>1</v>
      </c>
      <c r="F357">
        <f t="shared" si="23"/>
        <v>1</v>
      </c>
    </row>
    <row r="358" spans="1:6" x14ac:dyDescent="0.2">
      <c r="A358" t="s">
        <v>415</v>
      </c>
      <c r="B358" t="s">
        <v>419</v>
      </c>
      <c r="C358">
        <f t="shared" si="20"/>
        <v>2</v>
      </c>
      <c r="D358">
        <f t="shared" si="21"/>
        <v>0</v>
      </c>
      <c r="E358">
        <f t="shared" si="22"/>
        <v>1</v>
      </c>
      <c r="F358">
        <f t="shared" si="23"/>
        <v>3</v>
      </c>
    </row>
    <row r="359" spans="1:6" x14ac:dyDescent="0.2">
      <c r="A359" t="s">
        <v>413</v>
      </c>
      <c r="B359" t="s">
        <v>419</v>
      </c>
      <c r="C359">
        <f t="shared" si="20"/>
        <v>1</v>
      </c>
      <c r="D359">
        <f t="shared" si="21"/>
        <v>1</v>
      </c>
      <c r="E359">
        <f t="shared" si="22"/>
        <v>1</v>
      </c>
      <c r="F359">
        <f t="shared" si="23"/>
        <v>1</v>
      </c>
    </row>
    <row r="360" spans="1:6" x14ac:dyDescent="0.2">
      <c r="A360" t="s">
        <v>415</v>
      </c>
      <c r="B360" t="s">
        <v>418</v>
      </c>
      <c r="C360">
        <f t="shared" si="20"/>
        <v>2</v>
      </c>
      <c r="D360">
        <f t="shared" si="21"/>
        <v>0</v>
      </c>
      <c r="E360">
        <f t="shared" si="22"/>
        <v>0</v>
      </c>
      <c r="F360">
        <f t="shared" si="23"/>
        <v>4</v>
      </c>
    </row>
    <row r="361" spans="1:6" x14ac:dyDescent="0.2">
      <c r="A361" t="s">
        <v>413</v>
      </c>
      <c r="B361" t="s">
        <v>418</v>
      </c>
      <c r="C361">
        <f t="shared" si="20"/>
        <v>1</v>
      </c>
      <c r="D361">
        <f t="shared" si="21"/>
        <v>1</v>
      </c>
      <c r="E361">
        <f t="shared" si="22"/>
        <v>0</v>
      </c>
      <c r="F361">
        <f t="shared" si="23"/>
        <v>2</v>
      </c>
    </row>
    <row r="362" spans="1:6" x14ac:dyDescent="0.2">
      <c r="A362" t="s">
        <v>415</v>
      </c>
      <c r="B362" t="s">
        <v>419</v>
      </c>
      <c r="C362">
        <f t="shared" si="20"/>
        <v>2</v>
      </c>
      <c r="D362">
        <f t="shared" si="21"/>
        <v>0</v>
      </c>
      <c r="E362">
        <f t="shared" si="22"/>
        <v>1</v>
      </c>
      <c r="F362">
        <f t="shared" si="23"/>
        <v>3</v>
      </c>
    </row>
    <row r="363" spans="1:6" x14ac:dyDescent="0.2">
      <c r="A363" t="s">
        <v>413</v>
      </c>
      <c r="B363" t="s">
        <v>418</v>
      </c>
      <c r="C363">
        <f t="shared" si="20"/>
        <v>1</v>
      </c>
      <c r="D363">
        <f t="shared" si="21"/>
        <v>1</v>
      </c>
      <c r="E363">
        <f t="shared" si="22"/>
        <v>0</v>
      </c>
      <c r="F363">
        <f t="shared" si="23"/>
        <v>2</v>
      </c>
    </row>
    <row r="364" spans="1:6" x14ac:dyDescent="0.2">
      <c r="A364" t="s">
        <v>415</v>
      </c>
      <c r="B364" t="s">
        <v>419</v>
      </c>
      <c r="C364">
        <f t="shared" si="20"/>
        <v>2</v>
      </c>
      <c r="D364">
        <f t="shared" si="21"/>
        <v>0</v>
      </c>
      <c r="E364">
        <f t="shared" si="22"/>
        <v>1</v>
      </c>
      <c r="F364">
        <f t="shared" si="23"/>
        <v>3</v>
      </c>
    </row>
    <row r="365" spans="1:6" x14ac:dyDescent="0.2">
      <c r="A365" t="s">
        <v>415</v>
      </c>
      <c r="B365" t="s">
        <v>418</v>
      </c>
      <c r="C365">
        <f t="shared" si="20"/>
        <v>2</v>
      </c>
      <c r="D365">
        <f t="shared" si="21"/>
        <v>0</v>
      </c>
      <c r="E365">
        <f t="shared" si="22"/>
        <v>0</v>
      </c>
      <c r="F365">
        <f t="shared" si="23"/>
        <v>4</v>
      </c>
    </row>
    <row r="366" spans="1:6" x14ac:dyDescent="0.2">
      <c r="A366" t="s">
        <v>413</v>
      </c>
      <c r="B366" t="s">
        <v>419</v>
      </c>
      <c r="C366">
        <f t="shared" si="20"/>
        <v>1</v>
      </c>
      <c r="D366">
        <f t="shared" si="21"/>
        <v>1</v>
      </c>
      <c r="E366">
        <f t="shared" si="22"/>
        <v>1</v>
      </c>
      <c r="F366">
        <f t="shared" si="23"/>
        <v>1</v>
      </c>
    </row>
    <row r="367" spans="1:6" x14ac:dyDescent="0.2">
      <c r="A367" t="s">
        <v>413</v>
      </c>
      <c r="B367" t="s">
        <v>419</v>
      </c>
      <c r="C367">
        <f t="shared" si="20"/>
        <v>1</v>
      </c>
      <c r="D367">
        <f t="shared" si="21"/>
        <v>1</v>
      </c>
      <c r="E367">
        <f t="shared" si="22"/>
        <v>1</v>
      </c>
      <c r="F367">
        <f t="shared" si="23"/>
        <v>1</v>
      </c>
    </row>
    <row r="368" spans="1:6" x14ac:dyDescent="0.2">
      <c r="A368" t="s">
        <v>413</v>
      </c>
      <c r="B368" t="s">
        <v>418</v>
      </c>
      <c r="C368">
        <f t="shared" si="20"/>
        <v>1</v>
      </c>
      <c r="D368">
        <f t="shared" si="21"/>
        <v>1</v>
      </c>
      <c r="E368">
        <f t="shared" si="22"/>
        <v>0</v>
      </c>
      <c r="F368">
        <f t="shared" si="23"/>
        <v>2</v>
      </c>
    </row>
    <row r="369" spans="1:6" x14ac:dyDescent="0.2">
      <c r="A369" t="s">
        <v>415</v>
      </c>
      <c r="B369" t="s">
        <v>419</v>
      </c>
      <c r="C369">
        <f t="shared" si="20"/>
        <v>2</v>
      </c>
      <c r="D369">
        <f t="shared" si="21"/>
        <v>0</v>
      </c>
      <c r="E369">
        <f t="shared" si="22"/>
        <v>1</v>
      </c>
      <c r="F369">
        <f t="shared" si="23"/>
        <v>3</v>
      </c>
    </row>
    <row r="370" spans="1:6" x14ac:dyDescent="0.2">
      <c r="A370" t="s">
        <v>413</v>
      </c>
      <c r="B370" t="s">
        <v>418</v>
      </c>
      <c r="C370">
        <f t="shared" si="20"/>
        <v>1</v>
      </c>
      <c r="D370">
        <f t="shared" si="21"/>
        <v>1</v>
      </c>
      <c r="E370">
        <f t="shared" si="22"/>
        <v>0</v>
      </c>
      <c r="F370">
        <f t="shared" si="23"/>
        <v>2</v>
      </c>
    </row>
    <row r="371" spans="1:6" x14ac:dyDescent="0.2">
      <c r="A371" t="s">
        <v>413</v>
      </c>
      <c r="B371" t="s">
        <v>418</v>
      </c>
      <c r="C371">
        <f t="shared" si="20"/>
        <v>1</v>
      </c>
      <c r="D371">
        <f t="shared" si="21"/>
        <v>1</v>
      </c>
      <c r="E371">
        <f t="shared" si="22"/>
        <v>0</v>
      </c>
      <c r="F371">
        <f t="shared" si="23"/>
        <v>2</v>
      </c>
    </row>
    <row r="372" spans="1:6" x14ac:dyDescent="0.2">
      <c r="A372" t="s">
        <v>413</v>
      </c>
      <c r="B372" t="s">
        <v>419</v>
      </c>
      <c r="C372">
        <f t="shared" si="20"/>
        <v>1</v>
      </c>
      <c r="D372">
        <f t="shared" si="21"/>
        <v>1</v>
      </c>
      <c r="E372">
        <f t="shared" si="22"/>
        <v>1</v>
      </c>
      <c r="F372">
        <f t="shared" si="23"/>
        <v>1</v>
      </c>
    </row>
    <row r="373" spans="1:6" x14ac:dyDescent="0.2">
      <c r="A373" t="s">
        <v>415</v>
      </c>
      <c r="B373" t="s">
        <v>418</v>
      </c>
      <c r="C373">
        <f t="shared" si="20"/>
        <v>2</v>
      </c>
      <c r="D373">
        <f t="shared" si="21"/>
        <v>0</v>
      </c>
      <c r="E373">
        <f t="shared" si="22"/>
        <v>0</v>
      </c>
      <c r="F373">
        <f t="shared" si="23"/>
        <v>4</v>
      </c>
    </row>
    <row r="374" spans="1:6" x14ac:dyDescent="0.2">
      <c r="A374" t="s">
        <v>413</v>
      </c>
      <c r="B374" t="s">
        <v>419</v>
      </c>
      <c r="C374">
        <f t="shared" si="20"/>
        <v>1</v>
      </c>
      <c r="D374">
        <f t="shared" si="21"/>
        <v>1</v>
      </c>
      <c r="E374">
        <f t="shared" si="22"/>
        <v>1</v>
      </c>
      <c r="F374">
        <f t="shared" si="23"/>
        <v>1</v>
      </c>
    </row>
    <row r="375" spans="1:6" x14ac:dyDescent="0.2">
      <c r="A375" t="s">
        <v>415</v>
      </c>
      <c r="B375" t="s">
        <v>419</v>
      </c>
      <c r="C375">
        <f t="shared" si="20"/>
        <v>2</v>
      </c>
      <c r="D375">
        <f t="shared" si="21"/>
        <v>0</v>
      </c>
      <c r="E375">
        <f t="shared" si="22"/>
        <v>1</v>
      </c>
      <c r="F375">
        <f t="shared" si="23"/>
        <v>3</v>
      </c>
    </row>
    <row r="376" spans="1:6" x14ac:dyDescent="0.2">
      <c r="A376" t="s">
        <v>413</v>
      </c>
      <c r="B376" t="s">
        <v>418</v>
      </c>
      <c r="C376">
        <f t="shared" si="20"/>
        <v>1</v>
      </c>
      <c r="D376">
        <f t="shared" si="21"/>
        <v>1</v>
      </c>
      <c r="E376">
        <f t="shared" si="22"/>
        <v>0</v>
      </c>
      <c r="F376">
        <f t="shared" si="23"/>
        <v>2</v>
      </c>
    </row>
    <row r="377" spans="1:6" x14ac:dyDescent="0.2">
      <c r="A377" t="s">
        <v>413</v>
      </c>
      <c r="B377" t="s">
        <v>419</v>
      </c>
      <c r="C377">
        <f t="shared" si="20"/>
        <v>1</v>
      </c>
      <c r="D377">
        <f t="shared" si="21"/>
        <v>1</v>
      </c>
      <c r="E377">
        <f t="shared" si="22"/>
        <v>1</v>
      </c>
      <c r="F377">
        <f t="shared" si="23"/>
        <v>1</v>
      </c>
    </row>
    <row r="378" spans="1:6" x14ac:dyDescent="0.2">
      <c r="A378" t="s">
        <v>413</v>
      </c>
      <c r="B378" t="s">
        <v>419</v>
      </c>
      <c r="C378">
        <f t="shared" si="20"/>
        <v>1</v>
      </c>
      <c r="D378">
        <f t="shared" si="21"/>
        <v>1</v>
      </c>
      <c r="E378">
        <f t="shared" si="22"/>
        <v>1</v>
      </c>
      <c r="F378">
        <f t="shared" si="23"/>
        <v>1</v>
      </c>
    </row>
    <row r="379" spans="1:6" x14ac:dyDescent="0.2">
      <c r="A379" t="s">
        <v>413</v>
      </c>
      <c r="B379" t="s">
        <v>419</v>
      </c>
      <c r="C379">
        <f t="shared" si="20"/>
        <v>1</v>
      </c>
      <c r="D379">
        <f t="shared" si="21"/>
        <v>1</v>
      </c>
      <c r="E379">
        <f t="shared" si="22"/>
        <v>1</v>
      </c>
      <c r="F379">
        <f t="shared" si="23"/>
        <v>1</v>
      </c>
    </row>
    <row r="380" spans="1:6" x14ac:dyDescent="0.2">
      <c r="A380" t="s">
        <v>413</v>
      </c>
      <c r="B380" t="s">
        <v>419</v>
      </c>
      <c r="C380">
        <f t="shared" si="20"/>
        <v>1</v>
      </c>
      <c r="D380">
        <f t="shared" si="21"/>
        <v>1</v>
      </c>
      <c r="E380">
        <f t="shared" si="22"/>
        <v>1</v>
      </c>
      <c r="F380">
        <f t="shared" si="23"/>
        <v>1</v>
      </c>
    </row>
    <row r="381" spans="1:6" x14ac:dyDescent="0.2">
      <c r="A381" t="s">
        <v>413</v>
      </c>
      <c r="B381" t="s">
        <v>419</v>
      </c>
      <c r="C381">
        <f t="shared" si="20"/>
        <v>1</v>
      </c>
      <c r="D381">
        <f t="shared" si="21"/>
        <v>1</v>
      </c>
      <c r="E381">
        <f t="shared" si="22"/>
        <v>1</v>
      </c>
      <c r="F381">
        <f t="shared" si="23"/>
        <v>1</v>
      </c>
    </row>
    <row r="382" spans="1:6" x14ac:dyDescent="0.2">
      <c r="A382" t="s">
        <v>413</v>
      </c>
      <c r="B382" t="s">
        <v>418</v>
      </c>
      <c r="C382">
        <f t="shared" si="20"/>
        <v>1</v>
      </c>
      <c r="D382">
        <f t="shared" si="21"/>
        <v>1</v>
      </c>
      <c r="E382">
        <f t="shared" si="22"/>
        <v>0</v>
      </c>
      <c r="F382">
        <f t="shared" si="23"/>
        <v>2</v>
      </c>
    </row>
    <row r="383" spans="1:6" x14ac:dyDescent="0.2">
      <c r="A383" t="s">
        <v>415</v>
      </c>
      <c r="B383" t="s">
        <v>418</v>
      </c>
      <c r="C383">
        <f t="shared" si="20"/>
        <v>2</v>
      </c>
      <c r="D383">
        <f t="shared" si="21"/>
        <v>0</v>
      </c>
      <c r="E383">
        <f t="shared" si="22"/>
        <v>0</v>
      </c>
      <c r="F383">
        <f t="shared" si="23"/>
        <v>4</v>
      </c>
    </row>
    <row r="384" spans="1:6" x14ac:dyDescent="0.2">
      <c r="A384" t="s">
        <v>413</v>
      </c>
      <c r="B384" t="s">
        <v>418</v>
      </c>
      <c r="C384">
        <f t="shared" si="20"/>
        <v>1</v>
      </c>
      <c r="D384">
        <f t="shared" si="21"/>
        <v>1</v>
      </c>
      <c r="E384">
        <f t="shared" si="22"/>
        <v>0</v>
      </c>
      <c r="F384">
        <f t="shared" si="23"/>
        <v>2</v>
      </c>
    </row>
    <row r="385" spans="1:7" x14ac:dyDescent="0.2">
      <c r="A385" t="s">
        <v>413</v>
      </c>
      <c r="B385" t="s">
        <v>418</v>
      </c>
      <c r="C385">
        <f t="shared" si="20"/>
        <v>1</v>
      </c>
      <c r="D385">
        <f t="shared" si="21"/>
        <v>1</v>
      </c>
      <c r="E385">
        <f t="shared" si="22"/>
        <v>0</v>
      </c>
      <c r="F385">
        <f t="shared" si="23"/>
        <v>2</v>
      </c>
    </row>
    <row r="386" spans="1:7" x14ac:dyDescent="0.2">
      <c r="A386" t="s">
        <v>415</v>
      </c>
      <c r="B386" t="s">
        <v>419</v>
      </c>
      <c r="C386">
        <f t="shared" si="20"/>
        <v>2</v>
      </c>
      <c r="D386">
        <f t="shared" si="21"/>
        <v>0</v>
      </c>
      <c r="E386">
        <f t="shared" si="22"/>
        <v>1</v>
      </c>
      <c r="F386">
        <f t="shared" si="23"/>
        <v>3</v>
      </c>
    </row>
    <row r="387" spans="1:7" x14ac:dyDescent="0.2">
      <c r="A387" t="s">
        <v>414</v>
      </c>
      <c r="B387" t="s">
        <v>418</v>
      </c>
      <c r="C387">
        <f t="shared" ref="C387:C396" si="24">IF(A387="ASD",1,IF(A387="CON",0,2))</f>
        <v>0</v>
      </c>
      <c r="D387">
        <f t="shared" ref="D387:D396" si="25">IF(A387="ASD",1,0)</f>
        <v>0</v>
      </c>
      <c r="E387">
        <f t="shared" ref="E387:E396" si="26">IF(B387="M",0,1)</f>
        <v>0</v>
      </c>
      <c r="F387">
        <f t="shared" ref="F387:F396" si="27">IF(AND(A387="ASD",B387="F"),1,IF(AND(A387="ASD",B387="M"),2,IF(AND(A387&lt;&gt;"ASD",B387="F"),3,4)))</f>
        <v>4</v>
      </c>
    </row>
    <row r="388" spans="1:7" x14ac:dyDescent="0.2">
      <c r="A388" t="s">
        <v>414</v>
      </c>
      <c r="B388" t="s">
        <v>418</v>
      </c>
      <c r="C388">
        <f t="shared" si="24"/>
        <v>0</v>
      </c>
      <c r="D388">
        <f t="shared" si="25"/>
        <v>0</v>
      </c>
      <c r="E388">
        <f t="shared" si="26"/>
        <v>0</v>
      </c>
      <c r="F388">
        <f t="shared" si="27"/>
        <v>4</v>
      </c>
    </row>
    <row r="389" spans="1:7" x14ac:dyDescent="0.2">
      <c r="A389" t="s">
        <v>414</v>
      </c>
      <c r="B389" t="s">
        <v>418</v>
      </c>
      <c r="C389">
        <f t="shared" si="24"/>
        <v>0</v>
      </c>
      <c r="D389">
        <f t="shared" si="25"/>
        <v>0</v>
      </c>
      <c r="E389">
        <f t="shared" si="26"/>
        <v>0</v>
      </c>
      <c r="F389">
        <f t="shared" si="27"/>
        <v>4</v>
      </c>
    </row>
    <row r="390" spans="1:7" x14ac:dyDescent="0.2">
      <c r="A390" t="s">
        <v>414</v>
      </c>
      <c r="B390" t="s">
        <v>418</v>
      </c>
      <c r="C390">
        <f t="shared" si="24"/>
        <v>0</v>
      </c>
      <c r="D390">
        <f t="shared" si="25"/>
        <v>0</v>
      </c>
      <c r="E390">
        <f t="shared" si="26"/>
        <v>0</v>
      </c>
      <c r="F390">
        <f t="shared" si="27"/>
        <v>4</v>
      </c>
    </row>
    <row r="391" spans="1:7" x14ac:dyDescent="0.2">
      <c r="A391" t="s">
        <v>414</v>
      </c>
      <c r="B391" t="s">
        <v>419</v>
      </c>
      <c r="C391">
        <f t="shared" si="24"/>
        <v>0</v>
      </c>
      <c r="D391">
        <f t="shared" si="25"/>
        <v>0</v>
      </c>
      <c r="E391">
        <f t="shared" si="26"/>
        <v>1</v>
      </c>
      <c r="F391">
        <f t="shared" si="27"/>
        <v>3</v>
      </c>
    </row>
    <row r="392" spans="1:7" x14ac:dyDescent="0.2">
      <c r="A392" t="s">
        <v>414</v>
      </c>
      <c r="B392" t="s">
        <v>418</v>
      </c>
      <c r="C392">
        <f t="shared" si="24"/>
        <v>0</v>
      </c>
      <c r="D392">
        <f t="shared" si="25"/>
        <v>0</v>
      </c>
      <c r="E392">
        <f t="shared" si="26"/>
        <v>0</v>
      </c>
      <c r="F392">
        <f t="shared" si="27"/>
        <v>4</v>
      </c>
    </row>
    <row r="393" spans="1:7" x14ac:dyDescent="0.2">
      <c r="A393" t="s">
        <v>413</v>
      </c>
      <c r="B393" t="s">
        <v>418</v>
      </c>
      <c r="C393">
        <f t="shared" si="24"/>
        <v>1</v>
      </c>
      <c r="D393">
        <f t="shared" si="25"/>
        <v>1</v>
      </c>
      <c r="E393">
        <f t="shared" si="26"/>
        <v>0</v>
      </c>
      <c r="F393">
        <f t="shared" si="27"/>
        <v>2</v>
      </c>
    </row>
    <row r="394" spans="1:7" x14ac:dyDescent="0.2">
      <c r="A394" t="s">
        <v>415</v>
      </c>
      <c r="B394" t="s">
        <v>418</v>
      </c>
      <c r="C394">
        <f t="shared" si="24"/>
        <v>2</v>
      </c>
      <c r="D394">
        <f t="shared" si="25"/>
        <v>0</v>
      </c>
      <c r="E394">
        <f t="shared" si="26"/>
        <v>0</v>
      </c>
      <c r="F394">
        <f t="shared" si="27"/>
        <v>4</v>
      </c>
    </row>
    <row r="395" spans="1:7" x14ac:dyDescent="0.2">
      <c r="A395" t="s">
        <v>414</v>
      </c>
      <c r="B395" t="s">
        <v>419</v>
      </c>
      <c r="C395">
        <f t="shared" si="24"/>
        <v>0</v>
      </c>
      <c r="D395">
        <f t="shared" si="25"/>
        <v>0</v>
      </c>
      <c r="E395">
        <f t="shared" si="26"/>
        <v>1</v>
      </c>
      <c r="F395">
        <f t="shared" si="27"/>
        <v>3</v>
      </c>
    </row>
    <row r="396" spans="1:7" x14ac:dyDescent="0.2">
      <c r="A396" t="s">
        <v>414</v>
      </c>
      <c r="B396" t="s">
        <v>418</v>
      </c>
      <c r="C396">
        <f t="shared" si="24"/>
        <v>0</v>
      </c>
      <c r="D396">
        <f t="shared" si="25"/>
        <v>0</v>
      </c>
      <c r="E396">
        <f t="shared" si="26"/>
        <v>0</v>
      </c>
      <c r="F396">
        <f t="shared" si="27"/>
        <v>4</v>
      </c>
    </row>
    <row r="397" spans="1:7" x14ac:dyDescent="0.2">
      <c r="D397">
        <f>SUM(D2:D396)</f>
        <v>183</v>
      </c>
      <c r="F397">
        <f>COUNTIF(F2:F396,1)</f>
        <v>82</v>
      </c>
      <c r="G397">
        <v>1</v>
      </c>
    </row>
    <row r="398" spans="1:7" x14ac:dyDescent="0.2">
      <c r="F398">
        <f>COUNTIF(F3:F397,2)</f>
        <v>100</v>
      </c>
      <c r="G398">
        <v>2</v>
      </c>
    </row>
    <row r="399" spans="1:7" ht="16" x14ac:dyDescent="0.2">
      <c r="C399" s="1">
        <f>COUNTIF(C2:C396,2)</f>
        <v>58</v>
      </c>
      <c r="F399">
        <f>COUNTIF(F4:F398,3)</f>
        <v>111</v>
      </c>
      <c r="G399">
        <v>3</v>
      </c>
    </row>
    <row r="400" spans="1:7" x14ac:dyDescent="0.2">
      <c r="F400">
        <f>COUNTIF(F5:F399,4)</f>
        <v>100</v>
      </c>
      <c r="G400">
        <v>4</v>
      </c>
    </row>
  </sheetData>
  <phoneticPr fontId="1" type="noConversion"/>
  <conditionalFormatting sqref="C1:C396">
    <cfRule type="cellIs" dxfId="0" priority="1" operator="equal">
      <formula>999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Jacokes</dc:creator>
  <cp:lastModifiedBy>Xiaoyu Lei</cp:lastModifiedBy>
  <dcterms:created xsi:type="dcterms:W3CDTF">2018-02-08T23:14:59Z</dcterms:created>
  <dcterms:modified xsi:type="dcterms:W3CDTF">2025-07-31T01:18:06Z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ddc8df5c-18e3-4d00-8c85-f4bd8ee2cd75</vt:lpwstr>
  </property>
</Properties>
</file>